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xml" PartName="/xl/slicers/slicer1.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Ответы на форму (1)" sheetId="1" r:id="rId4"/>
    <sheet state="visible" name="Сводная таблица 1" sheetId="2" r:id="rId5"/>
    <sheet state="visible" name="Справочник международных путеше" sheetId="3" r:id="rId6"/>
    <sheet state="visible" name="Отчет" sheetId="4" r:id="rId7"/>
    <sheet state="visible" name="Корреляция" sheetId="5" r:id="rId8"/>
    <sheet state="visible" name="Тестирование гипотез" sheetId="6" r:id="rId9"/>
    <sheet state="visible" name="Справочник_столиц" sheetId="7" r:id="rId10"/>
  </sheets>
  <definedNames>
    <definedName name="ИменованныйДиапазон_один_день_отпуска">'Ответы на форму (1)'!$M:$M</definedName>
    <definedName name="ИменованныйДиапазон_оценка">'Ответы на форму (1)'!$J:$J</definedName>
    <definedName hidden="1" localSheetId="0" name="Z_C820ED32_4450_4793_B686_740B21583CCD_.wvu.FilterData">'Ответы на форму (1)'!$B$1:$P$11</definedName>
    <definedName hidden="1" localSheetId="0" name="Z_9D72475F_38A7_448B_A0F5_DA91D8365EF7_.wvu.FilterData">'Ответы на форму (1)'!$A$1:$P$11</definedName>
    <definedName name="SlicerCache_Table_1_Col_4">#N/A</definedName>
    <definedName name="SlicerCache_Table_1_Col_5">#N/A</definedName>
    <definedName name="SlicerCache_Table_1_Col_10">#N/A</definedName>
  </definedNames>
  <calcPr/>
  <customWorkbookViews>
    <customWorkbookView activeSheetId="0" maximized="1" windowHeight="0" windowWidth="0" guid="{9D72475F-38A7-448B-A0F5-DA91D8365EF7}" name="Фильтр 1"/>
    <customWorkbookView activeSheetId="0" maximized="1" windowHeight="0" windowWidth="0" guid="{C820ED32-4450-4793-B686-740B21583CCD}" name="Фильтр 2"/>
  </customWorkbookViews>
  <pivotCaches>
    <pivotCache cacheId="0" r:id="rId11"/>
    <pivotCache cacheId="1" r:id="rId12"/>
    <pivotCache cacheId="2" r:id="rId13"/>
  </pivotCaches>
  <extLst>
    <ext uri="{46BE6895-7355-4a93-B00E-2C351335B9C9}">
      <x15:slicerCaches>
        <x14:slicerCache r:id="rId14"/>
        <x14:slicerCache r:id="rId15"/>
        <x14:slicerCache r:id="rId16"/>
      </x15:slicerCaches>
    </ext>
  </extLst>
</workbook>
</file>

<file path=xl/sharedStrings.xml><?xml version="1.0" encoding="utf-8"?>
<sst xmlns="http://schemas.openxmlformats.org/spreadsheetml/2006/main" count="193" uniqueCount="81">
  <si>
    <t>Отметка времени</t>
  </si>
  <si>
    <t>Страна назначения</t>
  </si>
  <si>
    <t>Город назначения</t>
  </si>
  <si>
    <t>Дата отбытия</t>
  </si>
  <si>
    <t>Дата прибытия</t>
  </si>
  <si>
    <t>Бюджет</t>
  </si>
  <si>
    <t>Стоимость билетов</t>
  </si>
  <si>
    <t>Стоимость отеля</t>
  </si>
  <si>
    <t>Траты на отдыхе</t>
  </si>
  <si>
    <t>Оценка от 1 до 5</t>
  </si>
  <si>
    <t>Итого</t>
  </si>
  <si>
    <t>Отклонение от бюджета</t>
  </si>
  <si>
    <t>Стоимость 1 дня отпуска</t>
  </si>
  <si>
    <t>Стоимость 1 дня в отеле</t>
  </si>
  <si>
    <t>Стоимость 1 дня трат</t>
  </si>
  <si>
    <t>Международное направление</t>
  </si>
  <si>
    <t>City</t>
  </si>
  <si>
    <t>Россия</t>
  </si>
  <si>
    <t>Москва</t>
  </si>
  <si>
    <t>Кипр</t>
  </si>
  <si>
    <t>Ларнака</t>
  </si>
  <si>
    <t>Larnaca</t>
  </si>
  <si>
    <t>Доминикана</t>
  </si>
  <si>
    <t>Пунта-Кана</t>
  </si>
  <si>
    <t>Punta cana</t>
  </si>
  <si>
    <t>Турция</t>
  </si>
  <si>
    <t>Белек</t>
  </si>
  <si>
    <t>Belek</t>
  </si>
  <si>
    <t>Тунис</t>
  </si>
  <si>
    <t>Монастир</t>
  </si>
  <si>
    <t>Monastir</t>
  </si>
  <si>
    <t>Бали</t>
  </si>
  <si>
    <t>Денпасар</t>
  </si>
  <si>
    <t>Denpasar</t>
  </si>
  <si>
    <t>Испания</t>
  </si>
  <si>
    <t>Мадрид</t>
  </si>
  <si>
    <t>Madrid</t>
  </si>
  <si>
    <t>Португалия</t>
  </si>
  <si>
    <t>Лиссабон</t>
  </si>
  <si>
    <t>Lisbon</t>
  </si>
  <si>
    <t>Франция</t>
  </si>
  <si>
    <t>Ницца</t>
  </si>
  <si>
    <t>Nice</t>
  </si>
  <si>
    <t>Сербия</t>
  </si>
  <si>
    <t>Белград</t>
  </si>
  <si>
    <t>Belgrade</t>
  </si>
  <si>
    <t xml:space="preserve"> Бюджет</t>
  </si>
  <si>
    <t>Стандартное отклонение фактической стоимости отпуска от запланированной</t>
  </si>
  <si>
    <t>Количество поездок</t>
  </si>
  <si>
    <t>Средняя стоимость поездки</t>
  </si>
  <si>
    <t>Стандартное отклонение</t>
  </si>
  <si>
    <t>Медиана</t>
  </si>
  <si>
    <t>Дисперсия по выборке</t>
  </si>
  <si>
    <t>ИСТИНА</t>
  </si>
  <si>
    <t>Струтура расходов в разрезе стоимости перелета, проживания и текущих расходов с выделением сектора путешествий внутри страны</t>
  </si>
  <si>
    <t>Рейтинг стран по стоимости 1 дня в отеле</t>
  </si>
  <si>
    <t>Рейтинг стран по стоимости 1 дня трат</t>
  </si>
  <si>
    <t>SUM из Стоимость 1 дня в отеле</t>
  </si>
  <si>
    <t>SUM из Стоимость 1 дня трат</t>
  </si>
  <si>
    <t>Самый дорогой отпуск суммарно</t>
  </si>
  <si>
    <t>Среднее стандартное отклонение стоимости отпуска от запланированной</t>
  </si>
  <si>
    <t>SUM из Итого</t>
  </si>
  <si>
    <t>SUM из Стандартное отклонение фактической стоимости отпуска от запланированной</t>
  </si>
  <si>
    <t>Корреляция</t>
  </si>
  <si>
    <t>По графику можно сделать вывод о наличии корреляции: чем выше оценка, тем выше стоимость отпуска.</t>
  </si>
  <si>
    <t>Исходные данные</t>
  </si>
  <si>
    <t>Сформулируем гипотезу о том, что стандартное отклонение фактических затрат от плановых равно 0. Примем, что у нас ситуация с нормальным распределением данных. Установим уровень значимости - 5%.</t>
  </si>
  <si>
    <t>То есть  нулевая гипотеза H0 - стоимость поездки не отклоняется от плана.</t>
  </si>
  <si>
    <t>Альтернативная гипотеза  H1 реальная стоимость отпуска отклоняется от плановых показателей.</t>
  </si>
  <si>
    <t>H0</t>
  </si>
  <si>
    <t>H1</t>
  </si>
  <si>
    <t>!=0</t>
  </si>
  <si>
    <t>Уровень значимости</t>
  </si>
  <si>
    <t>Число степеней свободы</t>
  </si>
  <si>
    <t>Среднее значение по выборке</t>
  </si>
  <si>
    <t>Размер выборки</t>
  </si>
  <si>
    <t>t-статистика</t>
  </si>
  <si>
    <t>pvalue</t>
  </si>
  <si>
    <t>Критическое значение</t>
  </si>
  <si>
    <t>p-value выше уровня значимости, значит, нулевую гипотезу не можем отвергнуть</t>
  </si>
  <si>
    <t>Moscow</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</si>
</sst>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0"/>
  </numFmts>
  <fonts count="18">
    <font>
      <sz val="10.0"/>
      <color rgb="FF000000"/>
      <name val="Arial"/>
      <scheme val="minor"/>
    </font>
    <font>
      <b/>
      <color theme="1"/>
      <name val="Arial"/>
      <scheme val="minor"/>
    </font>
    <font>
      <b/>
      <sz val="10.0"/>
      <color theme="1"/>
      <name val="Arial"/>
      <scheme val="minor"/>
    </font>
    <font>
      <color theme="1"/>
      <name val="Arial"/>
      <scheme val="minor"/>
    </font>
    <font>
      <sz val="10.0"/>
      <color theme="1"/>
      <name val="&quot;Google Sans Mono&quot;"/>
    </font>
    <font>
      <sz val="10.0"/>
      <color theme="1"/>
      <name val="Arial"/>
      <scheme val="minor"/>
    </font>
    <font>
      <b/>
      <color rgb="FF000000"/>
      <name val="Arial"/>
      <scheme val="minor"/>
    </font>
    <font>
      <b/>
      <i/>
      <color rgb="FF000000"/>
      <name val="Arial"/>
      <scheme val="minor"/>
    </font>
    <font>
      <color rgb="FF000000"/>
      <name val="Arial"/>
      <scheme val="minor"/>
    </font>
    <font>
      <b/>
      <sz val="11.0"/>
      <color theme="1"/>
      <name val="Arial"/>
      <scheme val="minor"/>
    </font>
    <font/>
    <font>
      <b/>
      <i/>
      <sz val="11.0"/>
      <color theme="1"/>
      <name val="Arial"/>
      <scheme val="minor"/>
    </font>
    <font>
      <i/>
      <color theme="1"/>
      <name val="Arial"/>
      <scheme val="minor"/>
    </font>
    <font>
      <color theme="1"/>
      <name val="Arial"/>
    </font>
    <font>
      <sz val="10.0"/>
      <color theme="1"/>
      <name val="Arial"/>
    </font>
    <font>
      <b/>
      <sz val="10.0"/>
      <color theme="1"/>
      <name val="Arial"/>
    </font>
    <font>
      <sz val="10.0"/>
      <color rgb="FF000000"/>
      <name val="Arial"/>
    </font>
    <font>
      <b/>
      <color theme="1"/>
      <name val="Arial"/>
    </font>
  </fonts>
  <fills count="11">
    <fill>
      <patternFill patternType="none"/>
    </fill>
    <fill>
      <patternFill patternType="lightGray"/>
    </fill>
    <fill>
      <patternFill patternType="solid">
        <fgColor theme="7"/>
        <bgColor theme="7"/>
      </patternFill>
    </fill>
    <fill>
      <patternFill patternType="solid">
        <fgColor theme="4"/>
        <bgColor theme="4"/>
      </patternFill>
    </fill>
    <fill>
      <patternFill patternType="solid">
        <fgColor theme="9"/>
        <bgColor theme="9"/>
      </patternFill>
    </fill>
    <fill>
      <patternFill patternType="solid">
        <fgColor rgb="FFFFFFFF"/>
        <bgColor rgb="FFFFFFFF"/>
      </patternFill>
    </fill>
    <fill>
      <patternFill patternType="solid">
        <fgColor theme="5"/>
        <bgColor theme="5"/>
      </patternFill>
    </fill>
    <fill>
      <patternFill patternType="solid">
        <fgColor theme="6"/>
        <bgColor theme="6"/>
      </patternFill>
    </fill>
    <fill>
      <patternFill patternType="solid">
        <fgColor rgb="FFFFE599"/>
        <bgColor rgb="FFFFE599"/>
      </patternFill>
    </fill>
    <fill>
      <patternFill patternType="solid">
        <fgColor theme="8"/>
        <bgColor theme="8"/>
      </patternFill>
    </fill>
    <fill>
      <patternFill patternType="solid">
        <fgColor rgb="FFFFF2CC"/>
        <bgColor rgb="FFFFF2CC"/>
      </patternFill>
    </fill>
  </fills>
  <borders count="8">
    <border/>
    <border>
      <left style="thin">
        <color rgb="FF000000"/>
      </left>
      <top style="thin">
        <color rgb="FF000000"/>
      </top>
      <bottom style="thin">
        <color rgb="FF000000"/>
      </bottom>
    </border>
    <border>
      <left style="double">
        <color rgb="FFFBBC04"/>
      </left>
      <right style="double">
        <color rgb="FFFBBC04"/>
      </right>
      <top style="double">
        <color rgb="FFFBBC04"/>
      </top>
      <bottom style="double">
        <color rgb="FFFBBC04"/>
      </bottom>
    </border>
    <border>
      <left style="double">
        <color rgb="FF34A853"/>
      </left>
      <right style="double">
        <color rgb="FF34A853"/>
      </right>
      <top style="double">
        <color rgb="FF34A853"/>
      </top>
      <bottom style="double">
        <color rgb="FF34A853"/>
      </bottom>
    </border>
    <border>
      <left style="double">
        <color rgb="FFFBBC04"/>
      </left>
      <top style="double">
        <color rgb="FFFBBC04"/>
      </top>
      <bottom style="double">
        <color rgb="FFFBBC04"/>
      </bottom>
    </border>
    <border>
      <right style="double">
        <color rgb="FFFBBC04"/>
      </right>
      <top style="double">
        <color rgb="FFFBBC04"/>
      </top>
      <bottom style="double">
        <color rgb="FFFBBC04"/>
      </bottom>
    </border>
    <border>
      <left style="thin">
        <color rgb="FFFBBC04"/>
      </left>
      <right style="thin">
        <color rgb="FFFBBC04"/>
      </right>
      <top style="thin">
        <color rgb="FFFBBC04"/>
      </top>
      <bottom style="thin">
        <color rgb="FFFBBC04"/>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2" fontId="1" numFmtId="0" xfId="0" applyAlignment="1" applyBorder="1" applyFont="1">
      <alignment shrinkToFit="0" wrapText="1"/>
    </xf>
    <xf borderId="2" fillId="2" fontId="1" numFmtId="1" xfId="0" applyAlignment="1" applyBorder="1" applyFont="1" applyNumberFormat="1">
      <alignment shrinkToFit="0" wrapText="1"/>
    </xf>
    <xf borderId="2" fillId="2" fontId="1" numFmtId="1" xfId="0" applyAlignment="1" applyBorder="1" applyFont="1" applyNumberFormat="1">
      <alignment readingOrder="0" shrinkToFit="0" wrapText="1"/>
    </xf>
    <xf borderId="2" fillId="3" fontId="1" numFmtId="1" xfId="0" applyAlignment="1" applyBorder="1" applyFill="1" applyFont="1" applyNumberFormat="1">
      <alignment readingOrder="0" shrinkToFit="0" wrapText="1"/>
    </xf>
    <xf borderId="2" fillId="4" fontId="1" numFmtId="1" xfId="0" applyAlignment="1" applyBorder="1" applyFill="1" applyFont="1" applyNumberFormat="1">
      <alignment horizontal="left" readingOrder="0" shrinkToFit="0" wrapText="1"/>
    </xf>
    <xf borderId="2" fillId="4" fontId="2" numFmtId="1" xfId="0" applyAlignment="1" applyBorder="1" applyFont="1" applyNumberFormat="1">
      <alignment readingOrder="0" shrinkToFit="0" wrapText="1"/>
    </xf>
    <xf borderId="1" fillId="0" fontId="3" numFmtId="164" xfId="0" applyAlignment="1" applyBorder="1" applyFont="1" applyNumberFormat="1">
      <alignment readingOrder="0" shrinkToFit="0" wrapText="1"/>
    </xf>
    <xf borderId="2" fillId="0" fontId="3" numFmtId="0" xfId="0" applyAlignment="1" applyBorder="1" applyFont="1">
      <alignment horizontal="left" readingOrder="0" shrinkToFit="0" wrapText="1"/>
    </xf>
    <xf borderId="2" fillId="0" fontId="3" numFmtId="14" xfId="0" applyAlignment="1" applyBorder="1" applyFont="1" applyNumberFormat="1">
      <alignment horizontal="left" readingOrder="0" shrinkToFit="0" wrapText="1"/>
    </xf>
    <xf borderId="2" fillId="0" fontId="3" numFmtId="3" xfId="0" applyAlignment="1" applyBorder="1" applyFont="1" applyNumberFormat="1">
      <alignment horizontal="left" readingOrder="0" shrinkToFit="0" wrapText="1"/>
    </xf>
    <xf borderId="2" fillId="0" fontId="3" numFmtId="3" xfId="0" applyAlignment="1" applyBorder="1" applyFont="1" applyNumberFormat="1">
      <alignment horizontal="left" shrinkToFit="0" wrapText="1"/>
    </xf>
    <xf borderId="2" fillId="0" fontId="3" numFmtId="165" xfId="0" applyAlignment="1" applyBorder="1" applyFont="1" applyNumberFormat="1">
      <alignment horizontal="left" shrinkToFit="0" wrapText="1"/>
    </xf>
    <xf borderId="2" fillId="0" fontId="3" numFmtId="1" xfId="0" applyAlignment="1" applyBorder="1" applyFont="1" applyNumberFormat="1">
      <alignment horizontal="left" shrinkToFit="0" wrapText="1"/>
    </xf>
    <xf borderId="2" fillId="5" fontId="4" numFmtId="1" xfId="0" applyBorder="1" applyFill="1" applyFont="1" applyNumberFormat="1"/>
    <xf borderId="2" fillId="0" fontId="3" numFmtId="1" xfId="0" applyAlignment="1" applyBorder="1" applyFont="1" applyNumberFormat="1">
      <alignment shrinkToFit="0" wrapText="1"/>
    </xf>
    <xf borderId="2" fillId="0" fontId="5" numFmtId="1" xfId="0" applyAlignment="1" applyBorder="1" applyFont="1" applyNumberFormat="1">
      <alignment shrinkToFit="0" wrapText="1"/>
    </xf>
    <xf borderId="2" fillId="6" fontId="3" numFmtId="3" xfId="0" applyAlignment="1" applyBorder="1" applyFill="1" applyFont="1" applyNumberFormat="1">
      <alignment horizontal="left" shrinkToFit="0" wrapText="1"/>
    </xf>
    <xf borderId="0" fillId="0" fontId="3" numFmtId="0" xfId="0" applyAlignment="1" applyFont="1">
      <alignment shrinkToFit="0" wrapText="1"/>
    </xf>
    <xf borderId="0" fillId="0" fontId="3" numFmtId="3" xfId="0" applyAlignment="1" applyFont="1" applyNumberFormat="1">
      <alignment shrinkToFit="0" wrapText="1"/>
    </xf>
    <xf borderId="0" fillId="0" fontId="3" numFmtId="1" xfId="0" applyAlignment="1" applyFont="1" applyNumberFormat="1">
      <alignment shrinkToFit="0" wrapText="1"/>
    </xf>
    <xf borderId="2" fillId="4" fontId="6" numFmtId="0" xfId="0" applyAlignment="1" applyBorder="1" applyFont="1">
      <alignment horizontal="left" shrinkToFit="0" wrapText="1"/>
    </xf>
    <xf borderId="2" fillId="4" fontId="7" numFmtId="1" xfId="0" applyAlignment="1" applyBorder="1" applyFont="1" applyNumberFormat="1">
      <alignment horizontal="left" shrinkToFit="0" wrapText="1"/>
    </xf>
    <xf borderId="2" fillId="4" fontId="7" numFmtId="0" xfId="0" applyAlignment="1" applyBorder="1" applyFont="1">
      <alignment horizontal="left" shrinkToFit="0" wrapText="1"/>
    </xf>
    <xf borderId="2" fillId="7" fontId="7" numFmtId="0" xfId="0" applyAlignment="1" applyBorder="1" applyFill="1" applyFont="1">
      <alignment horizontal="left" readingOrder="0" shrinkToFit="0" wrapText="1"/>
    </xf>
    <xf borderId="2" fillId="0" fontId="8" numFmtId="0" xfId="0" applyAlignment="1" applyBorder="1" applyFont="1">
      <alignment horizontal="left" shrinkToFit="0" wrapText="1"/>
    </xf>
    <xf borderId="2" fillId="0" fontId="8" numFmtId="1" xfId="0" applyAlignment="1" applyBorder="1" applyFont="1" applyNumberFormat="1">
      <alignment horizontal="left" shrinkToFit="0" wrapText="1"/>
    </xf>
    <xf borderId="2" fillId="0" fontId="8" numFmtId="3" xfId="0" applyAlignment="1" applyBorder="1" applyFont="1" applyNumberFormat="1">
      <alignment horizontal="left" shrinkToFit="0" wrapText="1"/>
    </xf>
    <xf borderId="2" fillId="3" fontId="6" numFmtId="0" xfId="0" applyAlignment="1" applyBorder="1" applyFont="1">
      <alignment horizontal="left" shrinkToFit="0" wrapText="1"/>
    </xf>
    <xf borderId="2" fillId="3" fontId="6" numFmtId="1" xfId="0" applyAlignment="1" applyBorder="1" applyFont="1" applyNumberFormat="1">
      <alignment horizontal="left" shrinkToFit="0" wrapText="1"/>
    </xf>
    <xf borderId="2" fillId="3" fontId="8" numFmtId="3" xfId="0" applyAlignment="1" applyBorder="1" applyFont="1" applyNumberFormat="1">
      <alignment horizontal="left" shrinkToFit="0" wrapText="1"/>
    </xf>
    <xf borderId="0" fillId="0" fontId="1" numFmtId="0" xfId="0" applyAlignment="1" applyFont="1">
      <alignment readingOrder="0"/>
    </xf>
    <xf borderId="0" fillId="0" fontId="1" numFmtId="1" xfId="0" applyFont="1" applyNumberFormat="1"/>
    <xf borderId="3" fillId="0" fontId="1" numFmtId="0" xfId="0" applyAlignment="1" applyBorder="1" applyFont="1">
      <alignment readingOrder="0" shrinkToFit="0" wrapText="1"/>
    </xf>
    <xf borderId="3" fillId="0" fontId="1" numFmtId="1" xfId="0" applyBorder="1" applyFont="1" applyNumberFormat="1"/>
    <xf borderId="0" fillId="0" fontId="3" numFmtId="1" xfId="0" applyFont="1" applyNumberFormat="1"/>
    <xf borderId="4" fillId="4" fontId="9" numFmtId="0" xfId="0" applyAlignment="1" applyBorder="1" applyFont="1">
      <alignment horizontal="center" readingOrder="0" shrinkToFit="0" wrapText="1"/>
    </xf>
    <xf borderId="5" fillId="0" fontId="10" numFmtId="0" xfId="0" applyBorder="1" applyFont="1"/>
    <xf borderId="2" fillId="0" fontId="3" numFmtId="0" xfId="0" applyAlignment="1" applyBorder="1" applyFont="1">
      <alignment shrinkToFit="0" wrapText="1"/>
    </xf>
    <xf borderId="2" fillId="0" fontId="3" numFmtId="0" xfId="0" applyAlignment="1" applyBorder="1" applyFont="1">
      <alignment readingOrder="0" shrinkToFit="0" wrapText="1"/>
    </xf>
    <xf borderId="2" fillId="0" fontId="3" numFmtId="0" xfId="0" applyBorder="1" applyFont="1"/>
    <xf borderId="0" fillId="0" fontId="11" numFmtId="0" xfId="0" applyAlignment="1" applyFont="1">
      <alignment readingOrder="0"/>
    </xf>
    <xf borderId="0" fillId="0" fontId="1" numFmtId="0" xfId="0" applyAlignment="1" applyFont="1">
      <alignment horizontal="center" readingOrder="0" shrinkToFit="0" wrapText="1"/>
    </xf>
    <xf borderId="0" fillId="0" fontId="1" numFmtId="0" xfId="0" applyFont="1"/>
    <xf borderId="6" fillId="0" fontId="3" numFmtId="0" xfId="0" applyAlignment="1" applyBorder="1" applyFont="1">
      <alignment shrinkToFit="0" wrapText="1"/>
    </xf>
    <xf borderId="6" fillId="0" fontId="12" numFmtId="0" xfId="0" applyAlignment="1" applyBorder="1" applyFont="1">
      <alignment shrinkToFit="0" wrapText="1"/>
    </xf>
    <xf borderId="6" fillId="0" fontId="3" numFmtId="0" xfId="0" applyBorder="1" applyFont="1"/>
    <xf borderId="6" fillId="0" fontId="3" numFmtId="3" xfId="0" applyBorder="1" applyFont="1" applyNumberFormat="1"/>
    <xf borderId="0" fillId="0" fontId="3" numFmtId="3" xfId="0" applyFont="1" applyNumberFormat="1"/>
    <xf borderId="6" fillId="2" fontId="8" numFmtId="0" xfId="0" applyBorder="1" applyFont="1"/>
    <xf borderId="6" fillId="2" fontId="8" numFmtId="3" xfId="0" applyBorder="1" applyFont="1" applyNumberFormat="1"/>
    <xf borderId="6" fillId="5" fontId="3" numFmtId="0" xfId="0" applyBorder="1" applyFont="1"/>
    <xf borderId="6" fillId="0" fontId="3" numFmtId="1" xfId="0" applyBorder="1" applyFont="1" applyNumberFormat="1"/>
    <xf borderId="0" fillId="0" fontId="3" numFmtId="2" xfId="0" applyFont="1" applyNumberFormat="1"/>
    <xf borderId="7" fillId="0" fontId="3" numFmtId="0" xfId="0" applyAlignment="1" applyBorder="1" applyFont="1">
      <alignment readingOrder="0"/>
    </xf>
    <xf borderId="7" fillId="0" fontId="3" numFmtId="2" xfId="0" applyBorder="1" applyFont="1" applyNumberFormat="1"/>
    <xf borderId="0" fillId="0" fontId="3" numFmtId="2" xfId="0" applyAlignment="1" applyFont="1" applyNumberFormat="1">
      <alignment readingOrder="0"/>
    </xf>
    <xf borderId="0" fillId="8" fontId="1" numFmtId="0" xfId="0" applyAlignment="1" applyFill="1" applyFont="1">
      <alignment readingOrder="0" shrinkToFit="0" wrapText="1"/>
    </xf>
    <xf borderId="7" fillId="0" fontId="3" numFmtId="0" xfId="0" applyAlignment="1" applyBorder="1" applyFont="1">
      <alignment shrinkToFit="0" wrapText="1"/>
    </xf>
    <xf borderId="7" fillId="0" fontId="3" numFmtId="2" xfId="0" applyAlignment="1" applyBorder="1" applyFont="1" applyNumberFormat="1">
      <alignment shrinkToFit="0" wrapText="1"/>
    </xf>
    <xf borderId="7" fillId="5" fontId="3" numFmtId="0" xfId="0" applyBorder="1" applyFont="1"/>
    <xf borderId="7" fillId="0" fontId="3" numFmtId="1" xfId="0" applyBorder="1" applyFont="1" applyNumberFormat="1"/>
    <xf borderId="7" fillId="0" fontId="3" numFmtId="0" xfId="0" applyBorder="1" applyFont="1"/>
    <xf borderId="0" fillId="0" fontId="13" numFmtId="0" xfId="0" applyAlignment="1" applyFont="1">
      <alignment readingOrder="0" shrinkToFit="0" vertical="bottom" wrapText="1"/>
    </xf>
    <xf borderId="0" fillId="0" fontId="14" numFmtId="0" xfId="0" applyFont="1"/>
    <xf borderId="0" fillId="0" fontId="14" numFmtId="0" xfId="0" applyAlignment="1" applyFont="1">
      <alignment vertical="bottom"/>
    </xf>
    <xf borderId="0" fillId="0" fontId="14" numFmtId="2" xfId="0" applyAlignment="1" applyFont="1" applyNumberFormat="1">
      <alignment vertical="bottom"/>
    </xf>
    <xf borderId="7" fillId="0" fontId="14" numFmtId="0" xfId="0" applyAlignment="1" applyBorder="1" applyFont="1">
      <alignment shrinkToFit="0" vertical="bottom" wrapText="1"/>
    </xf>
    <xf borderId="7" fillId="0" fontId="14" numFmtId="2" xfId="0" applyAlignment="1" applyBorder="1" applyFont="1" applyNumberFormat="1">
      <alignment horizontal="right" readingOrder="0" shrinkToFit="0" vertical="bottom" wrapText="1"/>
    </xf>
    <xf borderId="7" fillId="0" fontId="15" numFmtId="2" xfId="0" applyAlignment="1" applyBorder="1" applyFont="1" applyNumberFormat="1">
      <alignment horizontal="right" shrinkToFit="0" vertical="bottom" wrapText="1"/>
    </xf>
    <xf borderId="7" fillId="0" fontId="14" numFmtId="2" xfId="0" applyAlignment="1" applyBorder="1" applyFont="1" applyNumberFormat="1">
      <alignment horizontal="right" shrinkToFit="0" vertical="bottom" wrapText="1"/>
    </xf>
    <xf borderId="7" fillId="5" fontId="16" numFmtId="2" xfId="0" applyBorder="1" applyFont="1" applyNumberFormat="1"/>
    <xf borderId="7" fillId="0" fontId="15" numFmtId="0" xfId="0" applyAlignment="1" applyBorder="1" applyFont="1">
      <alignment shrinkToFit="0" vertical="bottom" wrapText="1"/>
    </xf>
    <xf borderId="7" fillId="0" fontId="15" numFmtId="2" xfId="0" applyAlignment="1" applyBorder="1" applyFont="1" applyNumberFormat="1">
      <alignment vertical="bottom"/>
    </xf>
    <xf borderId="7" fillId="9" fontId="14" numFmtId="2" xfId="0" applyAlignment="1" applyBorder="1" applyFill="1" applyFont="1" applyNumberFormat="1">
      <alignment horizontal="right" vertical="bottom"/>
    </xf>
    <xf borderId="7" fillId="4" fontId="14" numFmtId="2" xfId="0" applyAlignment="1" applyBorder="1" applyFont="1" applyNumberFormat="1">
      <alignment horizontal="right" shrinkToFit="0" vertical="bottom" wrapText="1"/>
    </xf>
    <xf borderId="7" fillId="2" fontId="14" numFmtId="2" xfId="0" applyAlignment="1" applyBorder="1" applyFont="1" applyNumberFormat="1">
      <alignment horizontal="right" vertical="bottom"/>
    </xf>
    <xf borderId="7" fillId="0" fontId="14" numFmtId="2" xfId="0" applyAlignment="1" applyBorder="1" applyFont="1" applyNumberFormat="1">
      <alignment vertical="bottom"/>
    </xf>
    <xf borderId="0" fillId="0" fontId="13" numFmtId="0" xfId="0" applyAlignment="1" applyFont="1">
      <alignment vertical="bottom"/>
    </xf>
    <xf borderId="0" fillId="0" fontId="13" numFmtId="2" xfId="0" applyAlignment="1" applyFont="1" applyNumberFormat="1">
      <alignment vertical="bottom"/>
    </xf>
    <xf borderId="0" fillId="10" fontId="17" numFmtId="0" xfId="0" applyAlignment="1" applyFill="1" applyFont="1">
      <alignment readingOrder="0" vertical="bottom"/>
    </xf>
    <xf borderId="2" fillId="0" fontId="3" numFmtId="0" xfId="0" applyAlignment="1" applyBorder="1" applyFont="1">
      <alignment readingOrder="0"/>
    </xf>
    <xf borderId="2" fillId="0" fontId="3" numFmtId="0" xfId="0" applyAlignment="1" applyBorder="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7.xml"/><Relationship Id="rId13" Type="http://schemas.openxmlformats.org/officeDocument/2006/relationships/pivotCacheDefinition" Target="pivotCache/pivotCacheDefinition3.xml"/><Relationship Id="rId12" Type="http://schemas.openxmlformats.org/officeDocument/2006/relationships/pivotCacheDefinition" Target="pivotCache/pivotCacheDefinition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microsoft.com/office/2007/relationships/slicerCache" Target="slicerCaches/slicerCache2.xml"/><Relationship Id="rId14" Type="http://schemas.microsoft.com/office/2007/relationships/slicerCache" Target="slicerCaches/slicerCache1.xml"/><Relationship Id="rId16" Type="http://schemas.microsoft.com/office/2007/relationships/slicerCache" Target="slicerCaches/slicerCache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Структура расходов по стоимости перелета</a:t>
            </a:r>
          </a:p>
        </c:rich>
      </c:tx>
      <c:overlay val="0"/>
    </c:title>
    <c:view3D>
      <c:rotX val="50"/>
      <c:perspective val="0"/>
    </c:view3D>
    <c:plotArea>
      <c:layout/>
      <c:pie3DChart>
        <c:varyColors val="1"/>
        <c:ser>
          <c:idx val="0"/>
          <c:order val="0"/>
          <c:tx>
            <c:strRef>
              <c:f>'Ответы на форму (1)'!$G$1</c:f>
            </c:strRef>
          </c:tx>
          <c:dPt>
            <c:idx val="0"/>
            <c:explosion val="25"/>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Lbls>
            <c:showLegendKey val="0"/>
            <c:showVal val="0"/>
            <c:showCatName val="0"/>
            <c:showSerName val="0"/>
            <c:showPercent val="0"/>
            <c:showBubbleSize val="0"/>
            <c:showLeaderLines val="1"/>
          </c:dLbls>
          <c:cat>
            <c:strRef>
              <c:f>'Ответы на форму (1)'!$B$2:$B$11</c:f>
            </c:strRef>
          </c:cat>
          <c:val>
            <c:numRef>
              <c:f>'Ответы на форму (1)'!$G$2:$G$11</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Структура расходов по стоимости отеля</a:t>
            </a:r>
          </a:p>
        </c:rich>
      </c:tx>
      <c:overlay val="0"/>
    </c:title>
    <c:view3D>
      <c:rotX val="50"/>
      <c:perspective val="0"/>
    </c:view3D>
    <c:plotArea>
      <c:layout/>
      <c:pie3DChart>
        <c:varyColors val="1"/>
        <c:ser>
          <c:idx val="0"/>
          <c:order val="0"/>
          <c:tx>
            <c:strRef>
              <c:f>'Ответы на форму (1)'!$H$1</c:f>
            </c:strRef>
          </c:tx>
          <c:dPt>
            <c:idx val="0"/>
            <c:explosion val="25"/>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Lbls>
            <c:showLegendKey val="0"/>
            <c:showVal val="0"/>
            <c:showCatName val="0"/>
            <c:showSerName val="0"/>
            <c:showPercent val="0"/>
            <c:showBubbleSize val="0"/>
            <c:showLeaderLines val="1"/>
          </c:dLbls>
          <c:cat>
            <c:strRef>
              <c:f>'Ответы на форму (1)'!$B$2:$B$11</c:f>
            </c:strRef>
          </c:cat>
          <c:val>
            <c:numRef>
              <c:f>'Ответы на форму (1)'!$H$2:$H$11</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757575"/>
                </a:solidFill>
                <a:latin typeface="+mn-lt"/>
              </a:defRPr>
            </a:pPr>
            <a:r>
              <a:rPr b="1" sz="2000">
                <a:solidFill>
                  <a:srgbClr val="757575"/>
                </a:solidFill>
                <a:latin typeface="+mn-lt"/>
              </a:rPr>
              <a:t>Структура трат внутри стран</a:t>
            </a:r>
          </a:p>
        </c:rich>
      </c:tx>
      <c:overlay val="0"/>
    </c:title>
    <c:view3D>
      <c:rotX val="50"/>
      <c:perspective val="0"/>
    </c:view3D>
    <c:plotArea>
      <c:layout/>
      <c:pie3DChart>
        <c:varyColors val="1"/>
        <c:ser>
          <c:idx val="0"/>
          <c:order val="0"/>
          <c:tx>
            <c:strRef>
              <c:f>'Ответы на форму (1)'!$I$1</c:f>
            </c:strRef>
          </c:tx>
          <c:dPt>
            <c:idx val="0"/>
            <c:explosion val="25"/>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Lbls>
            <c:showLegendKey val="0"/>
            <c:showVal val="0"/>
            <c:showCatName val="0"/>
            <c:showSerName val="0"/>
            <c:showPercent val="0"/>
            <c:showBubbleSize val="0"/>
            <c:showLeaderLines val="1"/>
          </c:dLbls>
          <c:cat>
            <c:strRef>
              <c:f>'Ответы на форму (1)'!$B$2:$B$11</c:f>
            </c:strRef>
          </c:cat>
          <c:val>
            <c:numRef>
              <c:f>'Ответы на форму (1)'!$I$2:$I$11</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Структура расходов в путешествиях</a:t>
            </a:r>
          </a:p>
        </c:rich>
      </c:tx>
      <c:overlay val="0"/>
    </c:title>
    <c:plotArea>
      <c:layout/>
      <c:barChart>
        <c:barDir val="col"/>
        <c:ser>
          <c:idx val="0"/>
          <c:order val="0"/>
          <c:tx>
            <c:strRef>
              <c:f>'Ответы на форму (1)'!$C$1</c:f>
            </c:strRef>
          </c:tx>
          <c:spPr>
            <a:solidFill>
              <a:schemeClr val="accent1"/>
            </a:solidFill>
            <a:ln cmpd="sng">
              <a:solidFill>
                <a:srgbClr val="000000"/>
              </a:solidFill>
            </a:ln>
          </c:spPr>
          <c:cat>
            <c:strRef>
              <c:f>'Ответы на форму (1)'!$B$2:$B$11</c:f>
            </c:strRef>
          </c:cat>
          <c:val>
            <c:numRef>
              <c:f>'Ответы на форму (1)'!$C$2:$C$11</c:f>
              <c:numCache/>
            </c:numRef>
          </c:val>
        </c:ser>
        <c:ser>
          <c:idx val="1"/>
          <c:order val="1"/>
          <c:tx>
            <c:strRef>
              <c:f>'Ответы на форму (1)'!$G$1</c:f>
            </c:strRef>
          </c:tx>
          <c:spPr>
            <a:solidFill>
              <a:schemeClr val="accent2"/>
            </a:solidFill>
            <a:ln cmpd="sng">
              <a:solidFill>
                <a:srgbClr val="000000"/>
              </a:solidFill>
            </a:ln>
          </c:spPr>
          <c:cat>
            <c:strRef>
              <c:f>'Ответы на форму (1)'!$B$2:$B$11</c:f>
            </c:strRef>
          </c:cat>
          <c:val>
            <c:numRef>
              <c:f>'Ответы на форму (1)'!$G$2:$G$11</c:f>
              <c:numCache/>
            </c:numRef>
          </c:val>
        </c:ser>
        <c:ser>
          <c:idx val="2"/>
          <c:order val="2"/>
          <c:tx>
            <c:strRef>
              <c:f>'Ответы на форму (1)'!$H$1</c:f>
            </c:strRef>
          </c:tx>
          <c:spPr>
            <a:solidFill>
              <a:schemeClr val="accent3"/>
            </a:solidFill>
            <a:ln cmpd="sng">
              <a:solidFill>
                <a:srgbClr val="000000"/>
              </a:solidFill>
            </a:ln>
          </c:spPr>
          <c:cat>
            <c:strRef>
              <c:f>'Ответы на форму (1)'!$B$2:$B$11</c:f>
            </c:strRef>
          </c:cat>
          <c:val>
            <c:numRef>
              <c:f>'Ответы на форму (1)'!$H$2:$H$11</c:f>
              <c:numCache/>
            </c:numRef>
          </c:val>
        </c:ser>
        <c:ser>
          <c:idx val="3"/>
          <c:order val="3"/>
          <c:tx>
            <c:strRef>
              <c:f>'Ответы на форму (1)'!$I$1</c:f>
            </c:strRef>
          </c:tx>
          <c:spPr>
            <a:solidFill>
              <a:schemeClr val="accent4"/>
            </a:solidFill>
            <a:ln cmpd="sng">
              <a:solidFill>
                <a:srgbClr val="000000"/>
              </a:solidFill>
            </a:ln>
          </c:spPr>
          <c:cat>
            <c:strRef>
              <c:f>'Ответы на форму (1)'!$B$2:$B$11</c:f>
            </c:strRef>
          </c:cat>
          <c:val>
            <c:numRef>
              <c:f>'Ответы на форму (1)'!$I$2:$I$11</c:f>
              <c:numCache/>
            </c:numRef>
          </c:val>
        </c:ser>
        <c:ser>
          <c:idx val="4"/>
          <c:order val="4"/>
          <c:tx>
            <c:strRef>
              <c:f>'Ответы на форму (1)'!$N$1</c:f>
            </c:strRef>
          </c:tx>
          <c:cat>
            <c:strRef>
              <c:f>'Ответы на форму (1)'!$B$2:$B$11</c:f>
            </c:strRef>
          </c:cat>
          <c:val>
            <c:numRef>
              <c:f>'Ответы на форму (1)'!$N$2:$N$11</c:f>
              <c:numCache/>
            </c:numRef>
          </c:val>
        </c:ser>
        <c:axId val="1378414439"/>
        <c:axId val="610367726"/>
      </c:barChart>
      <c:catAx>
        <c:axId val="13784144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10367726"/>
      </c:catAx>
      <c:valAx>
        <c:axId val="6103677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78414439"/>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accent4"/>
                </a:solidFill>
                <a:latin typeface="+mn-lt"/>
              </a:defRPr>
            </a:pPr>
            <a:r>
              <a:rPr b="1">
                <a:solidFill>
                  <a:schemeClr val="accent4"/>
                </a:solidFill>
                <a:latin typeface="+mn-lt"/>
              </a:rPr>
              <a:t>Корреляция стоимости 1 дня отпуска с оценкой</a:t>
            </a:r>
          </a:p>
        </c:rich>
      </c:tx>
      <c:overlay val="0"/>
    </c:title>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trendline>
            <c:name/>
            <c:spPr>
              <a:ln w="19050">
                <a:solidFill>
                  <a:srgbClr val="34A853">
                    <a:alpha val="40000"/>
                  </a:srgbClr>
                </a:solidFill>
              </a:ln>
            </c:spPr>
            <c:trendlineType val="linear"/>
            <c:dispRSqr val="0"/>
            <c:dispEq val="0"/>
          </c:trendline>
          <c:xVal>
            <c:numRef>
              <c:f>'Ответы на форму (1)'!$J$1:$J$11</c:f>
            </c:numRef>
          </c:xVal>
          <c:yVal>
            <c:numRef>
              <c:f>'Ответы на форму (1)'!$M$1:$M$11</c:f>
              <c:numCache/>
            </c:numRef>
          </c:yVal>
        </c:ser>
        <c:dLbls>
          <c:showLegendKey val="0"/>
          <c:showVal val="0"/>
          <c:showCatName val="0"/>
          <c:showSerName val="0"/>
          <c:showPercent val="0"/>
          <c:showBubbleSize val="0"/>
        </c:dLbls>
        <c:axId val="1401367234"/>
        <c:axId val="1402006740"/>
      </c:scatterChart>
      <c:valAx>
        <c:axId val="140136723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02006740"/>
      </c:valAx>
      <c:valAx>
        <c:axId val="14020067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01367234"/>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9525</xdr:rowOff>
    </xdr:from>
    <xdr:ext cx="4476750" cy="2771775"/>
    <xdr:graphicFrame>
      <xdr:nvGraphicFramePr>
        <xdr:cNvPr id="1" name="Chart 1"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66675</xdr:colOff>
      <xdr:row>1</xdr:row>
      <xdr:rowOff>180975</xdr:rowOff>
    </xdr:from>
    <xdr:ext cx="4572000" cy="2819400"/>
    <xdr:graphicFrame>
      <xdr:nvGraphicFramePr>
        <xdr:cNvPr id="2" name="Chart 2"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17</xdr:row>
      <xdr:rowOff>133350</xdr:rowOff>
    </xdr:from>
    <xdr:ext cx="4476750" cy="2771775"/>
    <xdr:graphicFrame>
      <xdr:nvGraphicFramePr>
        <xdr:cNvPr id="3" name="Chart 3" title="Диаграмма"/>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161925</xdr:colOff>
      <xdr:row>17</xdr:row>
      <xdr:rowOff>133350</xdr:rowOff>
    </xdr:from>
    <xdr:ext cx="4476750" cy="2771775"/>
    <xdr:graphicFrame>
      <xdr:nvGraphicFramePr>
        <xdr:cNvPr id="4" name="Chart 4" title="Диаграмма"/>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15</xdr:row>
      <xdr:rowOff>142875</xdr:rowOff>
    </xdr:from>
    <xdr:ext cx="2857500" cy="2857500"/>
    <mc:AlternateContent>
      <mc:Choice Requires="sle15">
        <xdr:graphicFrame>
          <xdr:nvGraphicFramePr>
            <xdr:cNvPr id="1" name="Оценка от 1 до 5_1"/>
            <xdr:cNvGraphicFramePr/>
          </xdr:nvGraphicFramePr>
          <xdr:xfrm>
            <a:off x="0" y="0"/>
            <a:ext cx="0" cy="0"/>
          </xdr:xfrm>
          <a:graphic>
            <a:graphicData uri="http://schemas.microsoft.com/office/drawing/2010/slicer">
              <x3Unk:slicer name="Оценка от 1 до 5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819150</xdr:colOff>
      <xdr:row>15</xdr:row>
      <xdr:rowOff>142875</xdr:rowOff>
    </xdr:from>
    <xdr:ext cx="2857500" cy="2857500"/>
    <mc:AlternateContent>
      <mc:Choice Requires="sle15">
        <xdr:graphicFrame>
          <xdr:nvGraphicFramePr>
            <xdr:cNvPr id="2" name="Дата отбытия_2"/>
            <xdr:cNvGraphicFramePr/>
          </xdr:nvGraphicFramePr>
          <xdr:xfrm>
            <a:off x="0" y="0"/>
            <a:ext cx="0" cy="0"/>
          </xdr:xfrm>
          <a:graphic>
            <a:graphicData uri="http://schemas.microsoft.com/office/drawing/2010/slicer">
              <x3Unk:slicer name="Дата отбытия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3</xdr:col>
      <xdr:colOff>295275</xdr:colOff>
      <xdr:row>15</xdr:row>
      <xdr:rowOff>142875</xdr:rowOff>
    </xdr:from>
    <xdr:ext cx="2857500" cy="2857500"/>
    <mc:AlternateContent>
      <mc:Choice Requires="sle15">
        <xdr:graphicFrame>
          <xdr:nvGraphicFramePr>
            <xdr:cNvPr id="3" name="Дата прибытия_3"/>
            <xdr:cNvGraphicFramePr/>
          </xdr:nvGraphicFramePr>
          <xdr:xfrm>
            <a:off x="0" y="0"/>
            <a:ext cx="0" cy="0"/>
          </xdr:xfrm>
          <a:graphic>
            <a:graphicData uri="http://schemas.microsoft.com/office/drawing/2010/slicer">
              <x3Unk:slicer name="Дата прибытия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923925</xdr:colOff>
      <xdr:row>0</xdr:row>
      <xdr:rowOff>0</xdr:rowOff>
    </xdr:from>
    <xdr:ext cx="5715000" cy="3533775"/>
    <xdr:graphicFrame>
      <xdr:nvGraphicFramePr>
        <xdr:cNvPr id="5" name="Chart 5"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M111" sheet="Ответы на форму (1)"/>
  </cacheSource>
  <cacheFields>
    <cacheField name="Страна назначения" numFmtId="0">
      <sharedItems containsBlank="1">
        <s v="Россия"/>
        <s v="Кипр"/>
        <s v="Доминикана"/>
        <s v="Турция"/>
        <s v="Тунис"/>
        <s v="Бали"/>
        <s v="Испания"/>
        <s v="Португалия"/>
        <s v="Франция"/>
        <s v="Сербия"/>
        <m/>
      </sharedItems>
    </cacheField>
    <cacheField name="Город назначения" numFmtId="0">
      <sharedItems containsBlank="1">
        <s v="Москва"/>
        <s v="Ларнака"/>
        <s v="Пунта-Кана"/>
        <s v="Белек"/>
        <s v="Монастир"/>
        <s v="Денпасар"/>
        <s v="Мадрид"/>
        <s v="Лиссабон"/>
        <s v="Ницца"/>
        <s v="Белград"/>
        <m/>
      </sharedItems>
    </cacheField>
    <cacheField name="Дата отбытия" numFmtId="14">
      <sharedItems containsDate="1" containsString="0" containsBlank="1">
        <d v="2020-12-30T00:00:00Z"/>
        <d v="2021-08-01T00:00:00Z"/>
        <d v="2021-09-30T00:00:00Z"/>
        <d v="2022-04-25T00:00:00Z"/>
        <d v="2022-07-10T00:00:00Z"/>
        <d v="2022-11-30T00:00:00Z"/>
        <d v="2023-01-12T00:00:00Z"/>
        <d v="2023-02-05T00:00:00Z"/>
        <d v="2023-03-08T00:00:00Z"/>
        <d v="2023-04-02T00:00:00Z"/>
        <m/>
      </sharedItems>
    </cacheField>
    <cacheField name="Дата прибытия" numFmtId="14">
      <sharedItems containsDate="1" containsString="0" containsBlank="1">
        <d v="2021-01-12T00:00:00Z"/>
        <d v="2021-08-14T00:00:00Z"/>
        <d v="2021-10-10T00:00:00Z"/>
        <d v="2022-05-10T00:00:00Z"/>
        <d v="2022-07-24T00:00:00Z"/>
        <d v="2022-12-15T00:00:00Z"/>
        <d v="2023-01-19T00:00:00Z"/>
        <d v="2023-02-15T00:00:00Z"/>
        <d v="2023-03-20T00:00:00Z"/>
        <d v="2023-04-09T00:00:00Z"/>
        <m/>
      </sharedItems>
    </cacheField>
    <cacheField name="Бюджет" numFmtId="3">
      <sharedItems containsString="0" containsBlank="1" containsNumber="1" containsInteger="1">
        <n v="120000.0"/>
        <n v="150000.0"/>
        <n v="200000.0"/>
        <n v="180000.0"/>
        <n v="160000.0"/>
        <n v="230000.0"/>
        <n v="115000.0"/>
        <n v="240000.0"/>
        <n v="260000.0"/>
        <n v="85000.0"/>
        <m/>
      </sharedItems>
    </cacheField>
    <cacheField name="Стоимость билетов" numFmtId="3">
      <sharedItems containsString="0" containsBlank="1" containsNumber="1" containsInteger="1">
        <n v="8300.0"/>
        <n v="38500.0"/>
        <n v="105000.0"/>
        <n v="68000.0"/>
        <n v="67000.0"/>
        <n v="64000.0"/>
        <n v="66000.0"/>
        <n v="103000.0"/>
        <n v="74000.0"/>
        <n v="47000.0"/>
        <m/>
      </sharedItems>
    </cacheField>
    <cacheField name="Стоимость отеля" numFmtId="3">
      <sharedItems containsString="0" containsBlank="1" containsNumber="1" containsInteger="1">
        <n v="91000.0"/>
        <n v="86996.0"/>
        <n v="95000.0"/>
        <n v="66000.0"/>
        <n v="69006.0"/>
        <n v="109995.0"/>
        <n v="77000.0"/>
        <n v="117000.0"/>
        <n v="108000.0"/>
        <n v="26999.0"/>
        <m/>
      </sharedItems>
    </cacheField>
    <cacheField name="Траты на отдыхе" numFmtId="3">
      <sharedItems containsString="0" containsBlank="1" containsNumber="1" containsInteger="1">
        <n v="30693.0"/>
        <n v="44993.0"/>
        <n v="68000.0"/>
        <n v="48000.0"/>
        <n v="42994.0"/>
        <n v="73995.0"/>
        <n v="33999.0"/>
        <n v="55000.0"/>
        <n v="87000.0"/>
        <n v="22995.0"/>
        <m/>
      </sharedItems>
    </cacheField>
    <cacheField name="Оценка от 1 до 5" numFmtId="3">
      <sharedItems containsString="0" containsBlank="1" containsNumber="1" containsInteger="1">
        <n v="3.0"/>
        <n v="4.0"/>
        <n v="5.0"/>
        <m/>
      </sharedItems>
    </cacheField>
    <cacheField name="Итого" numFmtId="3">
      <sharedItems containsString="0" containsBlank="1" containsNumber="1" containsInteger="1">
        <n v="129993.0"/>
        <n v="170489.0"/>
        <n v="268000.0"/>
        <n v="182000.0"/>
        <n v="179000.0"/>
        <n v="247990.0"/>
        <n v="176999.0"/>
        <n v="275000.0"/>
        <n v="269000.0"/>
        <n v="96994.0"/>
        <m/>
      </sharedItems>
    </cacheField>
    <cacheField name="Отклонение от бюджета" numFmtId="3">
      <sharedItems containsString="0" containsBlank="1" containsNumber="1" containsInteger="1">
        <n v="-9993.0"/>
        <n v="-20489.0"/>
        <n v="-68000.0"/>
        <n v="-2000.0"/>
        <n v="-19000.0"/>
        <n v="-17990.0"/>
        <n v="-61999.0"/>
        <n v="-35000.0"/>
        <n v="-9000.0"/>
        <n v="-11994.0"/>
        <m/>
      </sharedItems>
    </cacheField>
    <cacheField name="Стоимость 1 дня отпуска" numFmtId="3">
      <sharedItems containsString="0" containsBlank="1" containsNumber="1">
        <n v="9999.461538461539"/>
        <n v="13114.538461538461"/>
        <n v="26800.0"/>
        <n v="12133.333333333334"/>
        <n v="12785.714285714286"/>
        <n v="16532.666666666668"/>
        <n v="25285.571428571428"/>
        <n v="27500.0"/>
        <n v="22416.666666666668"/>
        <n v="13856.285714285714"/>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O11" sheet="Ответы на форму (1)"/>
  </cacheSource>
  <cacheFields>
    <cacheField name="Страна назначения" numFmtId="0">
      <sharedItems>
        <s v="Россия"/>
        <s v="Кипр"/>
        <s v="Доминикана"/>
        <s v="Турция"/>
        <s v="Тунис"/>
        <s v="Бали"/>
        <s v="Испания"/>
        <s v="Португалия"/>
        <s v="Франция"/>
        <s v="Сербия"/>
      </sharedItems>
    </cacheField>
    <cacheField name="Город назначения" numFmtId="0">
      <sharedItems>
        <s v="Москва"/>
        <s v="Ларнака"/>
        <s v="Пунта-Кана"/>
        <s v="Белек"/>
        <s v="Монастир"/>
        <s v="Денпасар"/>
        <s v="Мадрид"/>
        <s v="Лиссабон"/>
        <s v="Ницца"/>
        <s v="Белград"/>
      </sharedItems>
    </cacheField>
    <cacheField name="Дата отбытия" numFmtId="14">
      <sharedItems containsSemiMixedTypes="0" containsDate="1" containsString="0">
        <d v="2020-12-30T00:00:00Z"/>
        <d v="2021-08-01T00:00:00Z"/>
        <d v="2021-09-30T00:00:00Z"/>
        <d v="2022-04-25T00:00:00Z"/>
        <d v="2022-07-10T00:00:00Z"/>
        <d v="2022-11-30T00:00:00Z"/>
        <d v="2023-01-12T00:00:00Z"/>
        <d v="2023-02-05T00:00:00Z"/>
        <d v="2023-03-08T00:00:00Z"/>
        <d v="2023-04-02T00:00:00Z"/>
      </sharedItems>
    </cacheField>
    <cacheField name="Дата прибытия" numFmtId="14">
      <sharedItems containsSemiMixedTypes="0" containsDate="1" containsString="0">
        <d v="2021-01-12T00:00:00Z"/>
        <d v="2021-08-14T00:00:00Z"/>
        <d v="2021-10-10T00:00:00Z"/>
        <d v="2022-05-10T00:00:00Z"/>
        <d v="2022-07-24T00:00:00Z"/>
        <d v="2022-12-15T00:00:00Z"/>
        <d v="2023-01-19T00:00:00Z"/>
        <d v="2023-02-15T00:00:00Z"/>
        <d v="2023-03-20T00:00:00Z"/>
        <d v="2023-04-09T00:00:00Z"/>
      </sharedItems>
    </cacheField>
    <cacheField name="Бюджет" numFmtId="3">
      <sharedItems containsSemiMixedTypes="0" containsString="0" containsNumber="1" containsInteger="1">
        <n v="120000.0"/>
        <n v="150000.0"/>
        <n v="200000.0"/>
        <n v="180000.0"/>
        <n v="160000.0"/>
        <n v="230000.0"/>
        <n v="115000.0"/>
        <n v="240000.0"/>
        <n v="260000.0"/>
        <n v="85000.0"/>
      </sharedItems>
    </cacheField>
    <cacheField name="Стоимость билетов" numFmtId="3">
      <sharedItems containsSemiMixedTypes="0" containsString="0" containsNumber="1" containsInteger="1">
        <n v="8300.0"/>
        <n v="38500.0"/>
        <n v="105000.0"/>
        <n v="68000.0"/>
        <n v="67000.0"/>
        <n v="64000.0"/>
        <n v="66000.0"/>
        <n v="103000.0"/>
        <n v="74000.0"/>
        <n v="47000.0"/>
      </sharedItems>
    </cacheField>
    <cacheField name="Стоимость отеля" numFmtId="3">
      <sharedItems containsSemiMixedTypes="0" containsString="0" containsNumber="1" containsInteger="1">
        <n v="91000.0"/>
        <n v="86996.0"/>
        <n v="95000.0"/>
        <n v="66000.0"/>
        <n v="69006.0"/>
        <n v="109995.0"/>
        <n v="77000.0"/>
        <n v="117000.0"/>
        <n v="108000.0"/>
        <n v="26999.0"/>
      </sharedItems>
    </cacheField>
    <cacheField name="Траты на отдыхе" numFmtId="3">
      <sharedItems containsSemiMixedTypes="0" containsString="0" containsNumber="1" containsInteger="1">
        <n v="30693.0"/>
        <n v="44993.0"/>
        <n v="68000.0"/>
        <n v="48000.0"/>
        <n v="42994.0"/>
        <n v="73995.0"/>
        <n v="33999.0"/>
        <n v="55000.0"/>
        <n v="87000.0"/>
        <n v="22995.0"/>
      </sharedItems>
    </cacheField>
    <cacheField name="Оценка от 1 до 5" numFmtId="3">
      <sharedItems containsSemiMixedTypes="0" containsString="0" containsNumber="1" containsInteger="1">
        <n v="3.0"/>
        <n v="4.0"/>
        <n v="5.0"/>
      </sharedItems>
    </cacheField>
    <cacheField name="Итого" numFmtId="3">
      <sharedItems containsSemiMixedTypes="0" containsString="0" containsNumber="1" containsInteger="1">
        <n v="129993.0"/>
        <n v="170489.0"/>
        <n v="268000.0"/>
        <n v="182000.0"/>
        <n v="179000.0"/>
        <n v="247990.0"/>
        <n v="176999.0"/>
        <n v="275000.0"/>
        <n v="269000.0"/>
        <n v="96994.0"/>
      </sharedItems>
    </cacheField>
    <cacheField name="Отклонение от бюджета" numFmtId="3">
      <sharedItems containsSemiMixedTypes="0" containsString="0" containsNumber="1" containsInteger="1">
        <n v="-9993.0"/>
        <n v="-20489.0"/>
        <n v="-68000.0"/>
        <n v="-2000.0"/>
        <n v="-19000.0"/>
        <n v="-17990.0"/>
        <n v="-61999.0"/>
        <n v="-35000.0"/>
        <n v="-9000.0"/>
        <n v="-11994.0"/>
      </sharedItems>
    </cacheField>
    <cacheField name="Стоимость 1 дня отпуска" numFmtId="3">
      <sharedItems containsSemiMixedTypes="0" containsString="0" containsNumber="1">
        <n v="9999.461538461539"/>
        <n v="13114.538461538461"/>
        <n v="26800.0"/>
        <n v="12133.333333333334"/>
        <n v="12785.714285714286"/>
        <n v="16532.666666666668"/>
        <n v="25285.571428571428"/>
        <n v="27500.0"/>
        <n v="22416.666666666668"/>
        <n v="13856.285714285714"/>
      </sharedItems>
    </cacheField>
    <cacheField name="Стоимость 1 дня в отеле" numFmtId="3">
      <sharedItems containsSemiMixedTypes="0" containsString="0" containsNumber="1" containsInteger="1">
        <n v="7000.0"/>
        <n v="6692.0"/>
        <n v="9500.0"/>
        <n v="4400.0"/>
        <n v="4929.0"/>
        <n v="7333.0"/>
        <n v="11000.0"/>
        <n v="11700.0"/>
        <n v="9000.0"/>
        <n v="3857.0"/>
      </sharedItems>
    </cacheField>
    <cacheField name="Стоимость 1 дня трат" numFmtId="165">
      <sharedItems containsSemiMixedTypes="0" containsString="0" containsNumber="1" containsInteger="1">
        <n v="2361.0"/>
        <n v="3461.0"/>
        <n v="6800.0"/>
        <n v="3200.0"/>
        <n v="3071.0"/>
        <n v="4933.0"/>
        <n v="4857.0"/>
        <n v="5500.0"/>
        <n v="7250.0"/>
        <n v="3285.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12" sheet="Сводная таблица 1"/>
  </cacheSource>
  <cacheFields>
    <cacheField name="Страна назначения" numFmtId="0">
      <sharedItems containsBlank="1">
        <m/>
        <s v="Бали"/>
        <s v="Доминикана"/>
        <s v="Испания"/>
        <s v="Кипр"/>
        <s v="Португалия"/>
        <s v="Россия"/>
        <s v="Сербия"/>
        <s v="Тунис"/>
        <s v="Турция"/>
        <s v="Франция"/>
      </sharedItems>
    </cacheField>
    <cacheField name=" Бюджет" numFmtId="1">
      <sharedItems containsSemiMixedTypes="0" containsString="0" containsNumber="1" containsInteger="1">
        <n v="0.0"/>
        <n v="230000.0"/>
        <n v="200000.0"/>
        <n v="115000.0"/>
        <n v="150000.0"/>
        <n v="240000.0"/>
        <n v="120000.0"/>
        <n v="85000.0"/>
        <n v="160000.0"/>
        <n v="180000.0"/>
        <n v="260000.0"/>
      </sharedItems>
    </cacheField>
    <cacheField name="Стоимость билетов" numFmtId="3">
      <sharedItems containsSemiMixedTypes="0" containsString="0" containsNumber="1" containsInteger="1">
        <n v="0.0"/>
        <n v="64000.0"/>
        <n v="105000.0"/>
        <n v="66000.0"/>
        <n v="38500.0"/>
        <n v="103000.0"/>
        <n v="8300.0"/>
        <n v="47000.0"/>
        <n v="67000.0"/>
        <n v="68000.0"/>
        <n v="74000.0"/>
      </sharedItems>
    </cacheField>
    <cacheField name="Стоимость отеля" numFmtId="3">
      <sharedItems containsSemiMixedTypes="0" containsString="0" containsNumber="1" containsInteger="1">
        <n v="0.0"/>
        <n v="109995.0"/>
        <n v="95000.0"/>
        <n v="77000.0"/>
        <n v="86996.0"/>
        <n v="117000.0"/>
        <n v="91000.0"/>
        <n v="26999.0"/>
        <n v="69006.0"/>
        <n v="66000.0"/>
        <n v="108000.0"/>
      </sharedItems>
    </cacheField>
    <cacheField name="Траты на отдыхе" numFmtId="3">
      <sharedItems containsSemiMixedTypes="0" containsString="0" containsNumber="1" containsInteger="1">
        <n v="0.0"/>
        <n v="73995.0"/>
        <n v="68000.0"/>
        <n v="33999.0"/>
        <n v="44993.0"/>
        <n v="55000.0"/>
        <n v="30693.0"/>
        <n v="22995.0"/>
        <n v="42994.0"/>
        <n v="48000.0"/>
        <n v="87000.0"/>
      </sharedItems>
    </cacheField>
    <cacheField name="Итого" numFmtId="3">
      <sharedItems containsSemiMixedTypes="0" containsString="0" containsNumber="1" containsInteger="1">
        <n v="0.0"/>
        <n v="247990.0"/>
        <n v="268000.0"/>
        <n v="176999.0"/>
        <n v="170489.0"/>
        <n v="275000.0"/>
        <n v="129993.0"/>
        <n v="96994.0"/>
        <n v="179000.0"/>
        <n v="182000.0"/>
        <n v="269000.0"/>
      </sharedItems>
    </cacheField>
    <cacheField name="Стоимость 1 дня отпуска" numFmtId="3">
      <sharedItems containsSemiMixedTypes="0" containsString="0" containsNumber="1">
        <n v="0.0"/>
        <n v="16532.666666666668"/>
        <n v="26800.0"/>
        <n v="25285.571428571428"/>
        <n v="13114.538461538461"/>
        <n v="27500.0"/>
        <n v="9999.461538461539"/>
        <n v="13856.285714285714"/>
        <n v="12785.714285714286"/>
        <n v="12133.333333333334"/>
        <n v="22416.666666666668"/>
      </sharedItems>
    </cacheField>
    <cacheField name="Стандартное отклонение фактической стоимости отпуска от запланированной" numFmtId="1">
      <sharedItems containsSemiMixedTypes="0" containsString="0" containsNumber="1">
        <n v="0.0"/>
        <n v="12720.85099354599"/>
        <n v="48083.26112068523"/>
        <n v="43839.91332678476"/>
        <n v="14487.910839731172"/>
        <n v="24748.737341529162"/>
        <n v="7066.118064397169"/>
        <n v="8481.038733551452"/>
        <n v="13435.028842544403"/>
        <n v="1414.213562373095"/>
        <n v="6363.961030678927"/>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Отчет" cacheId="1" dataCaption="" rowGrandTotals="0" compact="0" compactData="0">
  <location ref="A35:B45" firstHeaderRow="0" firstDataRow="1" firstDataCol="0"/>
  <pivotFields>
    <pivotField name="Страна назначения" axis="axisRow" compact="0" outline="0" multipleItemSelectionAllowed="1" showAll="0" sortType="descending">
      <items>
        <item x="0"/>
        <item x="1"/>
        <item x="2"/>
        <item x="3"/>
        <item x="4"/>
        <item x="5"/>
        <item x="6"/>
        <item x="7"/>
        <item x="8"/>
        <item x="9"/>
        <item t="default"/>
      </items>
      <autoSortScope>
        <pivotArea>
          <references>
            <reference field="4294967294">
              <x v="0"/>
            </reference>
          </references>
        </pivotArea>
      </autoSortScope>
    </pivotField>
    <pivotField name="Город назначения" compact="0" outline="0" multipleItemSelectionAllowed="1" showAll="0">
      <items>
        <item x="0"/>
        <item x="1"/>
        <item x="2"/>
        <item x="3"/>
        <item x="4"/>
        <item x="5"/>
        <item x="6"/>
        <item x="7"/>
        <item x="8"/>
        <item x="9"/>
        <item t="default"/>
      </items>
    </pivotField>
    <pivotField name="Дата отбытия" compact="0" numFmtId="14" outline="0" multipleItemSelectionAllowed="1" showAll="0">
      <items>
        <item x="0"/>
        <item x="1"/>
        <item x="2"/>
        <item x="3"/>
        <item x="4"/>
        <item x="5"/>
        <item x="6"/>
        <item x="7"/>
        <item x="8"/>
        <item x="9"/>
        <item t="default"/>
      </items>
    </pivotField>
    <pivotField name="Дата прибытия" compact="0" numFmtId="14" outline="0" multipleItemSelectionAllowed="1" showAll="0">
      <items>
        <item x="0"/>
        <item x="1"/>
        <item x="2"/>
        <item x="3"/>
        <item x="4"/>
        <item x="5"/>
        <item x="6"/>
        <item x="7"/>
        <item x="8"/>
        <item x="9"/>
        <item t="default"/>
      </items>
    </pivotField>
    <pivotField name="Бюджет" compact="0" numFmtId="3" outline="0" multipleItemSelectionAllowed="1" showAll="0">
      <items>
        <item x="0"/>
        <item x="1"/>
        <item x="2"/>
        <item x="3"/>
        <item x="4"/>
        <item x="5"/>
        <item x="6"/>
        <item x="7"/>
        <item x="8"/>
        <item x="9"/>
        <item t="default"/>
      </items>
    </pivotField>
    <pivotField name="Стоимость билетов" compact="0" numFmtId="3" outline="0" multipleItemSelectionAllowed="1" showAll="0">
      <items>
        <item x="0"/>
        <item x="1"/>
        <item x="2"/>
        <item x="3"/>
        <item x="4"/>
        <item x="5"/>
        <item x="6"/>
        <item x="7"/>
        <item x="8"/>
        <item x="9"/>
        <item t="default"/>
      </items>
    </pivotField>
    <pivotField name="Стоимость отеля" compact="0" numFmtId="3" outline="0" multipleItemSelectionAllowed="1" showAll="0">
      <items>
        <item x="0"/>
        <item x="1"/>
        <item x="2"/>
        <item x="3"/>
        <item x="4"/>
        <item x="5"/>
        <item x="6"/>
        <item x="7"/>
        <item x="8"/>
        <item x="9"/>
        <item t="default"/>
      </items>
    </pivotField>
    <pivotField name="Траты на отдыхе" compact="0" numFmtId="3" outline="0" multipleItemSelectionAllowed="1" showAll="0">
      <items>
        <item x="0"/>
        <item x="1"/>
        <item x="2"/>
        <item x="3"/>
        <item x="4"/>
        <item x="5"/>
        <item x="6"/>
        <item x="7"/>
        <item x="8"/>
        <item x="9"/>
        <item t="default"/>
      </items>
    </pivotField>
    <pivotField name="Оценка от 1 до 5" compact="0" numFmtId="3" outline="0" multipleItemSelectionAllowed="1" showAll="0">
      <items>
        <item x="0"/>
        <item x="1"/>
        <item x="2"/>
        <item t="default"/>
      </items>
    </pivotField>
    <pivotField name="Итого" compact="0" numFmtId="3" outline="0" multipleItemSelectionAllowed="1" showAll="0">
      <items>
        <item x="0"/>
        <item x="1"/>
        <item x="2"/>
        <item x="3"/>
        <item x="4"/>
        <item x="5"/>
        <item x="6"/>
        <item x="7"/>
        <item x="8"/>
        <item x="9"/>
        <item t="default"/>
      </items>
    </pivotField>
    <pivotField name="Отклонение от бюджета" compact="0" numFmtId="3" outline="0" multipleItemSelectionAllowed="1" showAll="0">
      <items>
        <item x="0"/>
        <item x="1"/>
        <item x="2"/>
        <item x="3"/>
        <item x="4"/>
        <item x="5"/>
        <item x="6"/>
        <item x="7"/>
        <item x="8"/>
        <item x="9"/>
        <item t="default"/>
      </items>
    </pivotField>
    <pivotField name="Стоимость 1 дня отпуска" compact="0" numFmtId="3" outline="0" multipleItemSelectionAllowed="1" showAll="0">
      <items>
        <item x="0"/>
        <item x="1"/>
        <item x="2"/>
        <item x="3"/>
        <item x="4"/>
        <item x="5"/>
        <item x="6"/>
        <item x="7"/>
        <item x="8"/>
        <item x="9"/>
        <item t="default"/>
      </items>
    </pivotField>
    <pivotField name="Стоимость 1 дня в отеле" dataField="1" compact="0" numFmtId="3" outline="0" multipleItemSelectionAllowed="1" showAll="0">
      <items>
        <item x="0"/>
        <item x="1"/>
        <item x="2"/>
        <item x="3"/>
        <item x="4"/>
        <item x="5"/>
        <item x="6"/>
        <item x="7"/>
        <item x="8"/>
        <item x="9"/>
        <item t="default"/>
      </items>
    </pivotField>
    <pivotField name="Стоимость 1 дня трат" compact="0" numFmtId="165" outline="0" multipleItemSelectionAllowed="1" showAll="0">
      <items>
        <item x="0"/>
        <item x="1"/>
        <item x="2"/>
        <item x="3"/>
        <item x="4"/>
        <item x="5"/>
        <item x="6"/>
        <item x="7"/>
        <item x="8"/>
        <item x="9"/>
        <item t="default"/>
      </items>
    </pivotField>
  </pivotFields>
  <rowFields>
    <field x="0"/>
  </rowFields>
  <dataFields>
    <dataField name="SUM of Стоимость 1 дня в отеле" fld="12" baseField="0"/>
  </dataFields>
</pivotTableDefinition>
</file>

<file path=xl/pivotTables/pivotTable2.xml><?xml version="1.0" encoding="utf-8"?>
<pivotTableDefinition xmlns="http://schemas.openxmlformats.org/spreadsheetml/2006/main" name="Отчет 2" cacheId="1" dataCaption="" rowGrandTotals="0" compact="0" compactData="0">
  <location ref="F35:G45" firstHeaderRow="0" firstDataRow="1" firstDataCol="0"/>
  <pivotFields>
    <pivotField name="Страна назначения" axis="axisRow" compact="0" outline="0" multipleItemSelectionAllowed="1" showAll="0" sortType="descending">
      <items>
        <item x="0"/>
        <item x="1"/>
        <item x="2"/>
        <item x="3"/>
        <item x="4"/>
        <item x="5"/>
        <item x="6"/>
        <item x="7"/>
        <item x="8"/>
        <item x="9"/>
        <item t="default"/>
      </items>
      <autoSortScope>
        <pivotArea>
          <references>
            <reference field="4294967294">
              <x v="0"/>
            </reference>
          </references>
        </pivotArea>
      </autoSortScope>
    </pivotField>
    <pivotField name="Город назначения" compact="0" outline="0" multipleItemSelectionAllowed="1" showAll="0">
      <items>
        <item x="0"/>
        <item x="1"/>
        <item x="2"/>
        <item x="3"/>
        <item x="4"/>
        <item x="5"/>
        <item x="6"/>
        <item x="7"/>
        <item x="8"/>
        <item x="9"/>
        <item t="default"/>
      </items>
    </pivotField>
    <pivotField name="Дата отбытия" compact="0" numFmtId="14" outline="0" multipleItemSelectionAllowed="1" showAll="0">
      <items>
        <item x="0"/>
        <item x="1"/>
        <item x="2"/>
        <item x="3"/>
        <item x="4"/>
        <item x="5"/>
        <item x="6"/>
        <item x="7"/>
        <item x="8"/>
        <item x="9"/>
        <item t="default"/>
      </items>
    </pivotField>
    <pivotField name="Дата прибытия" compact="0" numFmtId="14" outline="0" multipleItemSelectionAllowed="1" showAll="0">
      <items>
        <item x="0"/>
        <item x="1"/>
        <item x="2"/>
        <item x="3"/>
        <item x="4"/>
        <item x="5"/>
        <item x="6"/>
        <item x="7"/>
        <item x="8"/>
        <item x="9"/>
        <item t="default"/>
      </items>
    </pivotField>
    <pivotField name="Бюджет" compact="0" numFmtId="3" outline="0" multipleItemSelectionAllowed="1" showAll="0">
      <items>
        <item x="0"/>
        <item x="1"/>
        <item x="2"/>
        <item x="3"/>
        <item x="4"/>
        <item x="5"/>
        <item x="6"/>
        <item x="7"/>
        <item x="8"/>
        <item x="9"/>
        <item t="default"/>
      </items>
    </pivotField>
    <pivotField name="Стоимость билетов" compact="0" numFmtId="3" outline="0" multipleItemSelectionAllowed="1" showAll="0">
      <items>
        <item x="0"/>
        <item x="1"/>
        <item x="2"/>
        <item x="3"/>
        <item x="4"/>
        <item x="5"/>
        <item x="6"/>
        <item x="7"/>
        <item x="8"/>
        <item x="9"/>
        <item t="default"/>
      </items>
    </pivotField>
    <pivotField name="Стоимость отеля" compact="0" numFmtId="3" outline="0" multipleItemSelectionAllowed="1" showAll="0">
      <items>
        <item x="0"/>
        <item x="1"/>
        <item x="2"/>
        <item x="3"/>
        <item x="4"/>
        <item x="5"/>
        <item x="6"/>
        <item x="7"/>
        <item x="8"/>
        <item x="9"/>
        <item t="default"/>
      </items>
    </pivotField>
    <pivotField name="Траты на отдыхе" compact="0" numFmtId="3" outline="0" multipleItemSelectionAllowed="1" showAll="0">
      <items>
        <item x="0"/>
        <item x="1"/>
        <item x="2"/>
        <item x="3"/>
        <item x="4"/>
        <item x="5"/>
        <item x="6"/>
        <item x="7"/>
        <item x="8"/>
        <item x="9"/>
        <item t="default"/>
      </items>
    </pivotField>
    <pivotField name="Оценка от 1 до 5" compact="0" numFmtId="3" outline="0" multipleItemSelectionAllowed="1" showAll="0">
      <items>
        <item x="0"/>
        <item x="1"/>
        <item x="2"/>
        <item t="default"/>
      </items>
    </pivotField>
    <pivotField name="Итого" compact="0" numFmtId="3" outline="0" multipleItemSelectionAllowed="1" showAll="0">
      <items>
        <item x="0"/>
        <item x="1"/>
        <item x="2"/>
        <item x="3"/>
        <item x="4"/>
        <item x="5"/>
        <item x="6"/>
        <item x="7"/>
        <item x="8"/>
        <item x="9"/>
        <item t="default"/>
      </items>
    </pivotField>
    <pivotField name="Отклонение от бюджета" compact="0" numFmtId="3" outline="0" multipleItemSelectionAllowed="1" showAll="0">
      <items>
        <item x="0"/>
        <item x="1"/>
        <item x="2"/>
        <item x="3"/>
        <item x="4"/>
        <item x="5"/>
        <item x="6"/>
        <item x="7"/>
        <item x="8"/>
        <item x="9"/>
        <item t="default"/>
      </items>
    </pivotField>
    <pivotField name="Стоимость 1 дня отпуска" compact="0" numFmtId="3" outline="0" multipleItemSelectionAllowed="1" showAll="0">
      <items>
        <item x="0"/>
        <item x="1"/>
        <item x="2"/>
        <item x="3"/>
        <item x="4"/>
        <item x="5"/>
        <item x="6"/>
        <item x="7"/>
        <item x="8"/>
        <item x="9"/>
        <item t="default"/>
      </items>
    </pivotField>
    <pivotField name="Стоимость 1 дня в отеле" compact="0" numFmtId="3" outline="0" multipleItemSelectionAllowed="1" showAll="0">
      <items>
        <item x="0"/>
        <item x="1"/>
        <item x="2"/>
        <item x="3"/>
        <item x="4"/>
        <item x="5"/>
        <item x="6"/>
        <item x="7"/>
        <item x="8"/>
        <item x="9"/>
        <item t="default"/>
      </items>
    </pivotField>
    <pivotField name="Стоимость 1 дня трат" dataField="1" compact="0" numFmtId="165" outline="0" multipleItemSelectionAllowed="1" showAll="0">
      <items>
        <item x="0"/>
        <item x="1"/>
        <item x="2"/>
        <item x="3"/>
        <item x="4"/>
        <item x="5"/>
        <item x="6"/>
        <item x="7"/>
        <item x="8"/>
        <item x="9"/>
        <item t="default"/>
      </items>
    </pivotField>
  </pivotFields>
  <rowFields>
    <field x="0"/>
  </rowFields>
  <dataFields>
    <dataField name="SUM of Стоимость 1 дня трат" fld="13" baseField="0"/>
  </dataFields>
</pivotTableDefinition>
</file>

<file path=xl/pivotTables/pivotTable3.xml><?xml version="1.0" encoding="utf-8"?>
<pivotTableDefinition xmlns="http://schemas.openxmlformats.org/spreadsheetml/2006/main" name="Отчет 3" cacheId="1" dataCaption="" rowGrandTotals="0" compact="0" compactData="0">
  <location ref="A50:B60" firstHeaderRow="0" firstDataRow="1" firstDataCol="0"/>
  <pivotFields>
    <pivotField name="Страна назначения" axis="axisRow" compact="0" outline="0" multipleItemSelectionAllowed="1" showAll="0" sortType="descending">
      <items>
        <item x="0"/>
        <item x="1"/>
        <item x="2"/>
        <item x="3"/>
        <item x="4"/>
        <item x="5"/>
        <item x="6"/>
        <item x="7"/>
        <item x="8"/>
        <item x="9"/>
        <item t="default"/>
      </items>
      <autoSortScope>
        <pivotArea>
          <references>
            <reference field="4294967294">
              <x v="0"/>
            </reference>
          </references>
        </pivotArea>
      </autoSortScope>
    </pivotField>
    <pivotField name="Город назначения" compact="0" outline="0" multipleItemSelectionAllowed="1" showAll="0">
      <items>
        <item x="0"/>
        <item x="1"/>
        <item x="2"/>
        <item x="3"/>
        <item x="4"/>
        <item x="5"/>
        <item x="6"/>
        <item x="7"/>
        <item x="8"/>
        <item x="9"/>
        <item t="default"/>
      </items>
    </pivotField>
    <pivotField name="Дата отбытия" compact="0" numFmtId="14" outline="0" multipleItemSelectionAllowed="1" showAll="0">
      <items>
        <item x="0"/>
        <item x="1"/>
        <item x="2"/>
        <item x="3"/>
        <item x="4"/>
        <item x="5"/>
        <item x="6"/>
        <item x="7"/>
        <item x="8"/>
        <item x="9"/>
        <item t="default"/>
      </items>
    </pivotField>
    <pivotField name="Дата прибытия" compact="0" numFmtId="14" outline="0" multipleItemSelectionAllowed="1" showAll="0">
      <items>
        <item x="0"/>
        <item x="1"/>
        <item x="2"/>
        <item x="3"/>
        <item x="4"/>
        <item x="5"/>
        <item x="6"/>
        <item x="7"/>
        <item x="8"/>
        <item x="9"/>
        <item t="default"/>
      </items>
    </pivotField>
    <pivotField name="Бюджет" compact="0" numFmtId="3" outline="0" multipleItemSelectionAllowed="1" showAll="0">
      <items>
        <item x="0"/>
        <item x="1"/>
        <item x="2"/>
        <item x="3"/>
        <item x="4"/>
        <item x="5"/>
        <item x="6"/>
        <item x="7"/>
        <item x="8"/>
        <item x="9"/>
        <item t="default"/>
      </items>
    </pivotField>
    <pivotField name="Стоимость билетов" compact="0" numFmtId="3" outline="0" multipleItemSelectionAllowed="1" showAll="0">
      <items>
        <item x="0"/>
        <item x="1"/>
        <item x="2"/>
        <item x="3"/>
        <item x="4"/>
        <item x="5"/>
        <item x="6"/>
        <item x="7"/>
        <item x="8"/>
        <item x="9"/>
        <item t="default"/>
      </items>
    </pivotField>
    <pivotField name="Стоимость отеля" compact="0" numFmtId="3" outline="0" multipleItemSelectionAllowed="1" showAll="0">
      <items>
        <item x="0"/>
        <item x="1"/>
        <item x="2"/>
        <item x="3"/>
        <item x="4"/>
        <item x="5"/>
        <item x="6"/>
        <item x="7"/>
        <item x="8"/>
        <item x="9"/>
        <item t="default"/>
      </items>
    </pivotField>
    <pivotField name="Траты на отдыхе" compact="0" numFmtId="3" outline="0" multipleItemSelectionAllowed="1" showAll="0">
      <items>
        <item x="0"/>
        <item x="1"/>
        <item x="2"/>
        <item x="3"/>
        <item x="4"/>
        <item x="5"/>
        <item x="6"/>
        <item x="7"/>
        <item x="8"/>
        <item x="9"/>
        <item t="default"/>
      </items>
    </pivotField>
    <pivotField name="Оценка от 1 до 5" compact="0" numFmtId="3" outline="0" multipleItemSelectionAllowed="1" showAll="0">
      <items>
        <item x="0"/>
        <item x="1"/>
        <item x="2"/>
        <item t="default"/>
      </items>
    </pivotField>
    <pivotField name="Итого" dataField="1" compact="0" numFmtId="3" outline="0" multipleItemSelectionAllowed="1" showAll="0">
      <items>
        <item x="0"/>
        <item x="1"/>
        <item x="2"/>
        <item x="3"/>
        <item x="4"/>
        <item x="5"/>
        <item x="6"/>
        <item x="7"/>
        <item x="8"/>
        <item x="9"/>
        <item t="default"/>
      </items>
    </pivotField>
    <pivotField name="Отклонение от бюджета" compact="0" numFmtId="3" outline="0" multipleItemSelectionAllowed="1" showAll="0">
      <items>
        <item x="0"/>
        <item x="1"/>
        <item x="2"/>
        <item x="3"/>
        <item x="4"/>
        <item x="5"/>
        <item x="6"/>
        <item x="7"/>
        <item x="8"/>
        <item x="9"/>
        <item t="default"/>
      </items>
    </pivotField>
    <pivotField name="Стоимость 1 дня отпуска" compact="0" numFmtId="3" outline="0" multipleItemSelectionAllowed="1" showAll="0">
      <items>
        <item x="0"/>
        <item x="1"/>
        <item x="2"/>
        <item x="3"/>
        <item x="4"/>
        <item x="5"/>
        <item x="6"/>
        <item x="7"/>
        <item x="8"/>
        <item x="9"/>
        <item t="default"/>
      </items>
    </pivotField>
    <pivotField name="Стоимость 1 дня в отеле" compact="0" numFmtId="3" outline="0" multipleItemSelectionAllowed="1" showAll="0">
      <items>
        <item x="0"/>
        <item x="1"/>
        <item x="2"/>
        <item x="3"/>
        <item x="4"/>
        <item x="5"/>
        <item x="6"/>
        <item x="7"/>
        <item x="8"/>
        <item x="9"/>
        <item t="default"/>
      </items>
    </pivotField>
    <pivotField name="Стоимость 1 дня трат" compact="0" numFmtId="165" outline="0" multipleItemSelectionAllowed="1" showAll="0">
      <items>
        <item x="0"/>
        <item x="1"/>
        <item x="2"/>
        <item x="3"/>
        <item x="4"/>
        <item x="5"/>
        <item x="6"/>
        <item x="7"/>
        <item x="8"/>
        <item x="9"/>
        <item t="default"/>
      </items>
    </pivotField>
  </pivotFields>
  <rowFields>
    <field x="0"/>
  </rowFields>
  <dataFields>
    <dataField name="SUM of Итого" fld="9" baseField="0"/>
  </dataFields>
</pivotTableDefinition>
</file>

<file path=xl/pivotTables/pivotTable4.xml><?xml version="1.0" encoding="utf-8"?>
<pivotTableDefinition xmlns="http://schemas.openxmlformats.org/spreadsheetml/2006/main" name="Отчет 4" cacheId="2" dataCaption="" rowGrandTotals="0" compact="0" compactData="0">
  <location ref="F50:G60" firstHeaderRow="0" firstDataRow="1" firstDataCol="0"/>
  <pivotFields>
    <pivotField name="Страна назначения" axis="axisRow" compact="0" outline="0" multipleItemSelectionAllowed="1" showAll="0" sortType="descending">
      <items>
        <item h="1" x="0"/>
        <item x="1"/>
        <item x="2"/>
        <item x="3"/>
        <item x="4"/>
        <item x="5"/>
        <item x="6"/>
        <item x="7"/>
        <item x="8"/>
        <item x="9"/>
        <item x="10"/>
        <item t="default"/>
      </items>
      <autoSortScope>
        <pivotArea>
          <references>
            <reference field="4294967294">
              <x v="0"/>
            </reference>
          </references>
        </pivotArea>
      </autoSortScope>
    </pivotField>
    <pivotField name=" Бюджет" compact="0" numFmtId="1" outline="0" multipleItemSelectionAllowed="1" showAll="0">
      <items>
        <item x="0"/>
        <item x="1"/>
        <item x="2"/>
        <item x="3"/>
        <item x="4"/>
        <item x="5"/>
        <item x="6"/>
        <item x="7"/>
        <item x="8"/>
        <item x="9"/>
        <item x="10"/>
        <item t="default"/>
      </items>
    </pivotField>
    <pivotField name="Стоимость билетов" compact="0" numFmtId="3" outline="0" multipleItemSelectionAllowed="1" showAll="0">
      <items>
        <item x="0"/>
        <item x="1"/>
        <item x="2"/>
        <item x="3"/>
        <item x="4"/>
        <item x="5"/>
        <item x="6"/>
        <item x="7"/>
        <item x="8"/>
        <item x="9"/>
        <item x="10"/>
        <item t="default"/>
      </items>
    </pivotField>
    <pivotField name="Стоимость отеля" compact="0" numFmtId="3" outline="0" multipleItemSelectionAllowed="1" showAll="0">
      <items>
        <item x="0"/>
        <item x="1"/>
        <item x="2"/>
        <item x="3"/>
        <item x="4"/>
        <item x="5"/>
        <item x="6"/>
        <item x="7"/>
        <item x="8"/>
        <item x="9"/>
        <item x="10"/>
        <item t="default"/>
      </items>
    </pivotField>
    <pivotField name="Траты на отдыхе" compact="0" numFmtId="3" outline="0" multipleItemSelectionAllowed="1" showAll="0">
      <items>
        <item x="0"/>
        <item x="1"/>
        <item x="2"/>
        <item x="3"/>
        <item x="4"/>
        <item x="5"/>
        <item x="6"/>
        <item x="7"/>
        <item x="8"/>
        <item x="9"/>
        <item x="10"/>
        <item t="default"/>
      </items>
    </pivotField>
    <pivotField name="Итого" compact="0" numFmtId="3" outline="0" multipleItemSelectionAllowed="1" showAll="0">
      <items>
        <item x="0"/>
        <item x="1"/>
        <item x="2"/>
        <item x="3"/>
        <item x="4"/>
        <item x="5"/>
        <item x="6"/>
        <item x="7"/>
        <item x="8"/>
        <item x="9"/>
        <item x="10"/>
        <item t="default"/>
      </items>
    </pivotField>
    <pivotField name="Стоимость 1 дня отпуска" compact="0" numFmtId="3" outline="0" multipleItemSelectionAllowed="1" showAll="0">
      <items>
        <item x="0"/>
        <item x="1"/>
        <item x="2"/>
        <item x="3"/>
        <item x="4"/>
        <item x="5"/>
        <item x="6"/>
        <item x="7"/>
        <item x="8"/>
        <item x="9"/>
        <item x="10"/>
        <item t="default"/>
      </items>
    </pivotField>
    <pivotField name="Стандартное отклонение фактической стоимости отпуска от запланированной" dataField="1" compact="0" numFmtId="1" outline="0" multipleItemSelectionAllowed="1" showAll="0">
      <items>
        <item x="0"/>
        <item x="1"/>
        <item x="2"/>
        <item x="3"/>
        <item x="4"/>
        <item x="5"/>
        <item x="6"/>
        <item x="7"/>
        <item x="8"/>
        <item x="9"/>
        <item x="10"/>
        <item t="default"/>
      </items>
    </pivotField>
  </pivotFields>
  <rowFields>
    <field x="0"/>
  </rowFields>
  <dataFields>
    <dataField name="SUM of Стандартное отклонение фактической стоимости отпуска от запланированной" fld="7" baseField="0"/>
  </dataFields>
</pivotTableDefinition>
</file>

<file path=xl/pivotTables/pivotTable5.xml><?xml version="1.0" encoding="utf-8"?>
<pivotTableDefinition xmlns="http://schemas.openxmlformats.org/spreadsheetml/2006/main" name="Тестирование гипотез" cacheId="2" dataCaption="" rowGrandTotals="0" compact="0" compactData="0">
  <location ref="A5:B15" firstHeaderRow="0" firstDataRow="1" firstDataCol="0"/>
  <pivotFields>
    <pivotField name="Страна назначения" axis="axisRow" compact="0" outline="0" multipleItemSelectionAllowed="1" showAll="0" sortType="descending">
      <items>
        <item h="1" x="0"/>
        <item x="1"/>
        <item x="2"/>
        <item x="3"/>
        <item x="4"/>
        <item x="5"/>
        <item x="6"/>
        <item x="7"/>
        <item x="8"/>
        <item x="9"/>
        <item x="10"/>
        <item t="default"/>
      </items>
      <autoSortScope>
        <pivotArea>
          <references>
            <reference field="4294967294">
              <x v="0"/>
            </reference>
          </references>
        </pivotArea>
      </autoSortScope>
    </pivotField>
    <pivotField name=" Бюджет" compact="0" numFmtId="1" outline="0" multipleItemSelectionAllowed="1" showAll="0">
      <items>
        <item x="0"/>
        <item x="1"/>
        <item x="2"/>
        <item x="3"/>
        <item x="4"/>
        <item x="5"/>
        <item x="6"/>
        <item x="7"/>
        <item x="8"/>
        <item x="9"/>
        <item x="10"/>
        <item t="default"/>
      </items>
    </pivotField>
    <pivotField name="Стоимость билетов" compact="0" numFmtId="3" outline="0" multipleItemSelectionAllowed="1" showAll="0">
      <items>
        <item x="0"/>
        <item x="1"/>
        <item x="2"/>
        <item x="3"/>
        <item x="4"/>
        <item x="5"/>
        <item x="6"/>
        <item x="7"/>
        <item x="8"/>
        <item x="9"/>
        <item x="10"/>
        <item t="default"/>
      </items>
    </pivotField>
    <pivotField name="Стоимость отеля" compact="0" numFmtId="3" outline="0" multipleItemSelectionAllowed="1" showAll="0">
      <items>
        <item x="0"/>
        <item x="1"/>
        <item x="2"/>
        <item x="3"/>
        <item x="4"/>
        <item x="5"/>
        <item x="6"/>
        <item x="7"/>
        <item x="8"/>
        <item x="9"/>
        <item x="10"/>
        <item t="default"/>
      </items>
    </pivotField>
    <pivotField name="Траты на отдыхе" compact="0" numFmtId="3" outline="0" multipleItemSelectionAllowed="1" showAll="0">
      <items>
        <item x="0"/>
        <item x="1"/>
        <item x="2"/>
        <item x="3"/>
        <item x="4"/>
        <item x="5"/>
        <item x="6"/>
        <item x="7"/>
        <item x="8"/>
        <item x="9"/>
        <item x="10"/>
        <item t="default"/>
      </items>
    </pivotField>
    <pivotField name="Итого" compact="0" numFmtId="3" outline="0" multipleItemSelectionAllowed="1" showAll="0">
      <items>
        <item x="0"/>
        <item x="1"/>
        <item x="2"/>
        <item x="3"/>
        <item x="4"/>
        <item x="5"/>
        <item x="6"/>
        <item x="7"/>
        <item x="8"/>
        <item x="9"/>
        <item x="10"/>
        <item t="default"/>
      </items>
    </pivotField>
    <pivotField name="Стоимость 1 дня отпуска" compact="0" numFmtId="3" outline="0" multipleItemSelectionAllowed="1" showAll="0">
      <items>
        <item x="0"/>
        <item x="1"/>
        <item x="2"/>
        <item x="3"/>
        <item x="4"/>
        <item x="5"/>
        <item x="6"/>
        <item x="7"/>
        <item x="8"/>
        <item x="9"/>
        <item x="10"/>
        <item t="default"/>
      </items>
    </pivotField>
    <pivotField name="Стандартное отклонение фактической стоимости отпуска от запланированной" dataField="1" compact="0" numFmtId="1" outline="0" multipleItemSelectionAllowed="1" showAll="0">
      <items>
        <item x="0"/>
        <item x="1"/>
        <item x="2"/>
        <item x="3"/>
        <item x="4"/>
        <item x="5"/>
        <item x="6"/>
        <item x="7"/>
        <item x="8"/>
        <item x="9"/>
        <item x="10"/>
        <item t="default"/>
      </items>
    </pivotField>
  </pivotFields>
  <rowFields>
    <field x="0"/>
  </rowFields>
  <dataFields>
    <dataField name="SUM of Стандартное отклонение фактической стоимости отпуска от запланированной" fld="7"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Дата отбытия">
  <x14:extLst>
    <ext uri="{2F2917AC-EB37-4324-AD4E-5DD8C200BD13}">
      <x15:tableSlicerCache tableId="1" column="4"/>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Дата прибытия">
  <x14:extLst>
    <ext uri="{2F2917AC-EB37-4324-AD4E-5DD8C200BD13}">
      <x15:tableSlicerCache tableId="1" column="5"/>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0" sourceName="Оценка от 1 до 5">
  <x14:extLst>
    <ext uri="{2F2917AC-EB37-4324-AD4E-5DD8C200BD13}">
      <x15:tableSlicerCache tableId="1" column="10"/>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Оценка от 1 до 5_1" cache="SlicerCache_Table_1_Col_10" caption="Оценка от 1 до 5" rowHeight="247650"/>
  <x14:slicer name="Дата отбытия_2" cache="SlicerCache_Table_1_Col_4" caption="Дата отбытия" rowHeight="247650"/>
  <x14:slicer name="Дата прибытия_3" cache="SlicerCache_Table_1_Col_5" caption="Дата прибытия" rowHeight="247650"/>
</x14:slicers>
</file>

<file path=xl/tables/table1.xml><?xml version="1.0" encoding="utf-8"?>
<table xmlns="http://schemas.openxmlformats.org/spreadsheetml/2006/main" ref="A1:P11" displayName="Table_1" name="Table_1" id="1">
  <autoFilter ref="$A$1:$P$11"/>
  <tableColumns count="16">
    <tableColumn name="Отметка времени" id="1"/>
    <tableColumn name="Страна назначения" id="2"/>
    <tableColumn name="Город назначения" id="3"/>
    <tableColumn name="Дата отбытия" id="4"/>
    <tableColumn name="Дата прибытия" id="5"/>
    <tableColumn name="Бюджет" id="6"/>
    <tableColumn name="Стоимость билетов" id="7"/>
    <tableColumn name="Стоимость отеля" id="8"/>
    <tableColumn name="Траты на отдыхе" id="9"/>
    <tableColumn name="Оценка от 1 до 5" id="10"/>
    <tableColumn name="Итого" id="11"/>
    <tableColumn name="Отклонение от бюджета" id="12"/>
    <tableColumn name="Стоимость 1 дня отпуска" id="13"/>
    <tableColumn name="Стоимость 1 дня в отеле" id="14"/>
    <tableColumn name="Стоимость 1 дня трат" id="15"/>
    <tableColumn name="Международное направление" id="16"/>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4.xml"/><Relationship Id="rId6"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2" width="16.63"/>
    <col customWidth="1" min="3" max="3" width="12.75"/>
    <col customWidth="1" min="4" max="4" width="13.0"/>
    <col customWidth="1" min="5" max="5" width="13.63"/>
    <col customWidth="1" min="6" max="6" width="9.38"/>
    <col customWidth="1" min="7" max="7" width="18.88"/>
    <col customWidth="1" min="8" max="8" width="15.75"/>
    <col customWidth="1" min="9" max="9" width="15.38"/>
    <col customWidth="1" min="10" max="10" width="10.75"/>
    <col customWidth="1" min="11" max="11" width="10.88"/>
    <col customWidth="1" min="12" max="12" width="14.13"/>
    <col customWidth="1" min="13" max="15" width="14.38"/>
    <col customWidth="1" min="16" max="16" width="15.75"/>
    <col customWidth="1" min="17" max="17" width="22.38"/>
  </cols>
  <sheetData>
    <row r="1">
      <c r="A1" s="1" t="s">
        <v>0</v>
      </c>
      <c r="B1" s="2" t="s">
        <v>1</v>
      </c>
      <c r="C1" s="2" t="s">
        <v>2</v>
      </c>
      <c r="D1" s="2" t="s">
        <v>3</v>
      </c>
      <c r="E1" s="2" t="s">
        <v>4</v>
      </c>
      <c r="F1" s="3" t="s">
        <v>5</v>
      </c>
      <c r="G1" s="4" t="s">
        <v>6</v>
      </c>
      <c r="H1" s="4" t="s">
        <v>7</v>
      </c>
      <c r="I1" s="4" t="s">
        <v>8</v>
      </c>
      <c r="J1" s="4" t="s">
        <v>9</v>
      </c>
      <c r="K1" s="4" t="s">
        <v>10</v>
      </c>
      <c r="L1" s="4" t="s">
        <v>11</v>
      </c>
      <c r="M1" s="4" t="s">
        <v>12</v>
      </c>
      <c r="N1" s="5" t="s">
        <v>13</v>
      </c>
      <c r="O1" s="5" t="s">
        <v>14</v>
      </c>
      <c r="P1" s="6" t="s">
        <v>15</v>
      </c>
      <c r="Q1" s="7" t="s">
        <v>16</v>
      </c>
    </row>
    <row r="2">
      <c r="A2" s="8">
        <v>45028.820875115736</v>
      </c>
      <c r="B2" s="9" t="s">
        <v>17</v>
      </c>
      <c r="C2" s="9" t="s">
        <v>18</v>
      </c>
      <c r="D2" s="10">
        <v>44195.0</v>
      </c>
      <c r="E2" s="10">
        <v>44208.0</v>
      </c>
      <c r="F2" s="11">
        <v>120000.0</v>
      </c>
      <c r="G2" s="11">
        <v>8300.0</v>
      </c>
      <c r="H2" s="11">
        <v>91000.0</v>
      </c>
      <c r="I2" s="11">
        <v>30693.0</v>
      </c>
      <c r="J2" s="11">
        <v>3.0</v>
      </c>
      <c r="K2" s="12">
        <f t="shared" ref="K2:K11" si="1">G2+H2+I2</f>
        <v>129993</v>
      </c>
      <c r="L2" s="12">
        <f t="shared" ref="L2:L11" si="2">F2-K2</f>
        <v>-9993</v>
      </c>
      <c r="M2" s="12">
        <f t="shared" ref="M2:M11" si="3">K2/(E2-D2)</f>
        <v>9999.461538</v>
      </c>
      <c r="N2" s="12">
        <f t="shared" ref="N2:N11" si="4"> H2/(E2-D2)</f>
        <v>7000</v>
      </c>
      <c r="O2" s="13">
        <f t="shared" ref="O2:O11" si="5">I2/(E2-D2)</f>
        <v>2361</v>
      </c>
      <c r="P2" s="14" t="b">
        <f> IFERROR( VLOOKUP(B2,'Справочник международных путеше'!A1:B10,2,FALSE), FALSE)</f>
        <v>0</v>
      </c>
      <c r="Q2" s="15" t="str">
        <f t="array" ref="Q2:Q11">VLOOKUP(C2:C11,'Справочник_столиц'!A2:B11,2,FALSE)</f>
        <v>Moscow</v>
      </c>
    </row>
    <row r="3">
      <c r="A3" s="8">
        <v>45028.82144554398</v>
      </c>
      <c r="B3" s="9" t="s">
        <v>19</v>
      </c>
      <c r="C3" s="9" t="s">
        <v>20</v>
      </c>
      <c r="D3" s="10">
        <v>44409.0</v>
      </c>
      <c r="E3" s="10">
        <v>44422.0</v>
      </c>
      <c r="F3" s="11">
        <v>150000.0</v>
      </c>
      <c r="G3" s="11">
        <v>38500.0</v>
      </c>
      <c r="H3" s="11">
        <v>86996.0</v>
      </c>
      <c r="I3" s="11">
        <v>44993.0</v>
      </c>
      <c r="J3" s="11">
        <v>4.0</v>
      </c>
      <c r="K3" s="12">
        <f t="shared" si="1"/>
        <v>170489</v>
      </c>
      <c r="L3" s="12">
        <f t="shared" si="2"/>
        <v>-20489</v>
      </c>
      <c r="M3" s="12">
        <f t="shared" si="3"/>
        <v>13114.53846</v>
      </c>
      <c r="N3" s="12">
        <f t="shared" si="4"/>
        <v>6692</v>
      </c>
      <c r="O3" s="13">
        <f t="shared" si="5"/>
        <v>3461</v>
      </c>
      <c r="P3" s="16" t="str">
        <f>VLOOKUP(B3,'Справочник международных путеше'!A2:B11,2,FALSE)</f>
        <v>ИСТИНА</v>
      </c>
      <c r="Q3" s="17" t="s">
        <v>21</v>
      </c>
    </row>
    <row r="4">
      <c r="A4" s="8">
        <v>45028.823248877314</v>
      </c>
      <c r="B4" s="9" t="s">
        <v>22</v>
      </c>
      <c r="C4" s="9" t="s">
        <v>23</v>
      </c>
      <c r="D4" s="10">
        <v>44469.0</v>
      </c>
      <c r="E4" s="10">
        <v>44479.0</v>
      </c>
      <c r="F4" s="11">
        <v>200000.0</v>
      </c>
      <c r="G4" s="11">
        <v>105000.0</v>
      </c>
      <c r="H4" s="11">
        <v>95000.0</v>
      </c>
      <c r="I4" s="11">
        <v>68000.0</v>
      </c>
      <c r="J4" s="11">
        <v>5.0</v>
      </c>
      <c r="K4" s="12">
        <f t="shared" si="1"/>
        <v>268000</v>
      </c>
      <c r="L4" s="12">
        <f t="shared" si="2"/>
        <v>-68000</v>
      </c>
      <c r="M4" s="12">
        <f t="shared" si="3"/>
        <v>26800</v>
      </c>
      <c r="N4" s="12">
        <f t="shared" si="4"/>
        <v>9500</v>
      </c>
      <c r="O4" s="13">
        <f t="shared" si="5"/>
        <v>6800</v>
      </c>
      <c r="P4" s="16" t="str">
        <f>VLOOKUP(B4,'Справочник международных путеше'!A3:B12,2,FALSE)</f>
        <v>ИСТИНА</v>
      </c>
      <c r="Q4" s="17" t="s">
        <v>24</v>
      </c>
    </row>
    <row r="5">
      <c r="A5" s="8">
        <v>45028.82407957176</v>
      </c>
      <c r="B5" s="9" t="s">
        <v>25</v>
      </c>
      <c r="C5" s="9" t="s">
        <v>26</v>
      </c>
      <c r="D5" s="10">
        <v>44676.0</v>
      </c>
      <c r="E5" s="10">
        <v>44691.0</v>
      </c>
      <c r="F5" s="11">
        <v>180000.0</v>
      </c>
      <c r="G5" s="11">
        <v>68000.0</v>
      </c>
      <c r="H5" s="11">
        <v>66000.0</v>
      </c>
      <c r="I5" s="11">
        <v>48000.0</v>
      </c>
      <c r="J5" s="11">
        <v>4.0</v>
      </c>
      <c r="K5" s="12">
        <f t="shared" si="1"/>
        <v>182000</v>
      </c>
      <c r="L5" s="12">
        <f t="shared" si="2"/>
        <v>-2000</v>
      </c>
      <c r="M5" s="12">
        <f t="shared" si="3"/>
        <v>12133.33333</v>
      </c>
      <c r="N5" s="12">
        <f t="shared" si="4"/>
        <v>4400</v>
      </c>
      <c r="O5" s="13">
        <f t="shared" si="5"/>
        <v>3200</v>
      </c>
      <c r="P5" s="16" t="str">
        <f>VLOOKUP(B5,'Справочник международных путеше'!A4:B13,2,FALSE)</f>
        <v>ИСТИНА</v>
      </c>
      <c r="Q5" s="17" t="s">
        <v>27</v>
      </c>
    </row>
    <row r="6">
      <c r="A6" s="8">
        <v>45028.8251396875</v>
      </c>
      <c r="B6" s="9" t="s">
        <v>28</v>
      </c>
      <c r="C6" s="9" t="s">
        <v>29</v>
      </c>
      <c r="D6" s="10">
        <v>44752.0</v>
      </c>
      <c r="E6" s="10">
        <v>44766.0</v>
      </c>
      <c r="F6" s="11">
        <v>160000.0</v>
      </c>
      <c r="G6" s="11">
        <v>67000.0</v>
      </c>
      <c r="H6" s="11">
        <v>69006.0</v>
      </c>
      <c r="I6" s="11">
        <v>42994.0</v>
      </c>
      <c r="J6" s="11">
        <v>3.0</v>
      </c>
      <c r="K6" s="12">
        <f t="shared" si="1"/>
        <v>179000</v>
      </c>
      <c r="L6" s="12">
        <f t="shared" si="2"/>
        <v>-19000</v>
      </c>
      <c r="M6" s="12">
        <f t="shared" si="3"/>
        <v>12785.71429</v>
      </c>
      <c r="N6" s="12">
        <f t="shared" si="4"/>
        <v>4929</v>
      </c>
      <c r="O6" s="13">
        <f t="shared" si="5"/>
        <v>3071</v>
      </c>
      <c r="P6" s="16" t="str">
        <f>VLOOKUP(B6,'Справочник международных путеше'!A5:B14,2,FALSE)</f>
        <v>ИСТИНА</v>
      </c>
      <c r="Q6" s="17" t="s">
        <v>30</v>
      </c>
    </row>
    <row r="7">
      <c r="A7" s="8">
        <v>45028.82604935185</v>
      </c>
      <c r="B7" s="9" t="s">
        <v>31</v>
      </c>
      <c r="C7" s="9" t="s">
        <v>32</v>
      </c>
      <c r="D7" s="10">
        <v>44895.0</v>
      </c>
      <c r="E7" s="10">
        <v>44910.0</v>
      </c>
      <c r="F7" s="11">
        <v>230000.0</v>
      </c>
      <c r="G7" s="11">
        <v>64000.0</v>
      </c>
      <c r="H7" s="11">
        <v>109995.0</v>
      </c>
      <c r="I7" s="11">
        <v>73995.0</v>
      </c>
      <c r="J7" s="11">
        <v>4.0</v>
      </c>
      <c r="K7" s="12">
        <f t="shared" si="1"/>
        <v>247990</v>
      </c>
      <c r="L7" s="12">
        <f t="shared" si="2"/>
        <v>-17990</v>
      </c>
      <c r="M7" s="12">
        <f t="shared" si="3"/>
        <v>16532.66667</v>
      </c>
      <c r="N7" s="12">
        <f t="shared" si="4"/>
        <v>7333</v>
      </c>
      <c r="O7" s="13">
        <f t="shared" si="5"/>
        <v>4933</v>
      </c>
      <c r="P7" s="16" t="str">
        <f>VLOOKUP(B7,'Справочник международных путеше'!A6:B15,2,FALSE)</f>
        <v>ИСТИНА</v>
      </c>
      <c r="Q7" s="17" t="s">
        <v>33</v>
      </c>
    </row>
    <row r="8">
      <c r="A8" s="8">
        <v>45028.8267366088</v>
      </c>
      <c r="B8" s="9" t="s">
        <v>34</v>
      </c>
      <c r="C8" s="9" t="s">
        <v>35</v>
      </c>
      <c r="D8" s="10">
        <v>44938.0</v>
      </c>
      <c r="E8" s="10">
        <v>44945.0</v>
      </c>
      <c r="F8" s="11">
        <v>115000.0</v>
      </c>
      <c r="G8" s="11">
        <v>66000.0</v>
      </c>
      <c r="H8" s="11">
        <v>77000.0</v>
      </c>
      <c r="I8" s="11">
        <v>33999.0</v>
      </c>
      <c r="J8" s="11">
        <v>5.0</v>
      </c>
      <c r="K8" s="12">
        <f t="shared" si="1"/>
        <v>176999</v>
      </c>
      <c r="L8" s="12">
        <f t="shared" si="2"/>
        <v>-61999</v>
      </c>
      <c r="M8" s="12">
        <f t="shared" si="3"/>
        <v>25285.57143</v>
      </c>
      <c r="N8" s="12">
        <f t="shared" si="4"/>
        <v>11000</v>
      </c>
      <c r="O8" s="13">
        <f t="shared" si="5"/>
        <v>4857</v>
      </c>
      <c r="P8" s="16" t="str">
        <f>VLOOKUP(B8,'Справочник международных путеше'!A7:B16,2,FALSE)</f>
        <v>ИСТИНА</v>
      </c>
      <c r="Q8" s="17" t="s">
        <v>36</v>
      </c>
    </row>
    <row r="9">
      <c r="A9" s="8">
        <v>45028.82754230324</v>
      </c>
      <c r="B9" s="9" t="s">
        <v>37</v>
      </c>
      <c r="C9" s="9" t="s">
        <v>38</v>
      </c>
      <c r="D9" s="10">
        <v>44962.0</v>
      </c>
      <c r="E9" s="10">
        <v>44972.0</v>
      </c>
      <c r="F9" s="11">
        <v>240000.0</v>
      </c>
      <c r="G9" s="11">
        <v>103000.0</v>
      </c>
      <c r="H9" s="11">
        <v>117000.0</v>
      </c>
      <c r="I9" s="11">
        <v>55000.0</v>
      </c>
      <c r="J9" s="11">
        <v>4.0</v>
      </c>
      <c r="K9" s="18">
        <f t="shared" si="1"/>
        <v>275000</v>
      </c>
      <c r="L9" s="12">
        <f t="shared" si="2"/>
        <v>-35000</v>
      </c>
      <c r="M9" s="18">
        <f t="shared" si="3"/>
        <v>27500</v>
      </c>
      <c r="N9" s="12">
        <f t="shared" si="4"/>
        <v>11700</v>
      </c>
      <c r="O9" s="13">
        <f t="shared" si="5"/>
        <v>5500</v>
      </c>
      <c r="P9" s="16" t="str">
        <f>VLOOKUP(B9,'Справочник международных путеше'!A8:B17,2,FALSE)</f>
        <v>ИСТИНА</v>
      </c>
      <c r="Q9" s="17" t="s">
        <v>39</v>
      </c>
    </row>
    <row r="10">
      <c r="A10" s="8">
        <v>45028.82811077546</v>
      </c>
      <c r="B10" s="9" t="s">
        <v>40</v>
      </c>
      <c r="C10" s="9" t="s">
        <v>41</v>
      </c>
      <c r="D10" s="10">
        <v>44993.0</v>
      </c>
      <c r="E10" s="10">
        <v>45005.0</v>
      </c>
      <c r="F10" s="11">
        <v>260000.0</v>
      </c>
      <c r="G10" s="11">
        <v>74000.0</v>
      </c>
      <c r="H10" s="11">
        <v>108000.0</v>
      </c>
      <c r="I10" s="11">
        <v>87000.0</v>
      </c>
      <c r="J10" s="11">
        <v>5.0</v>
      </c>
      <c r="K10" s="12">
        <f t="shared" si="1"/>
        <v>269000</v>
      </c>
      <c r="L10" s="12">
        <f t="shared" si="2"/>
        <v>-9000</v>
      </c>
      <c r="M10" s="12">
        <f t="shared" si="3"/>
        <v>22416.66667</v>
      </c>
      <c r="N10" s="12">
        <f t="shared" si="4"/>
        <v>9000</v>
      </c>
      <c r="O10" s="13">
        <f t="shared" si="5"/>
        <v>7250</v>
      </c>
      <c r="P10" s="16" t="str">
        <f>VLOOKUP(B10,'Справочник международных путеше'!A9:B18,2,FALSE)</f>
        <v>ИСТИНА</v>
      </c>
      <c r="Q10" s="17" t="s">
        <v>42</v>
      </c>
    </row>
    <row r="11">
      <c r="A11" s="8">
        <v>45028.828698321755</v>
      </c>
      <c r="B11" s="9" t="s">
        <v>43</v>
      </c>
      <c r="C11" s="9" t="s">
        <v>44</v>
      </c>
      <c r="D11" s="10">
        <v>45018.0</v>
      </c>
      <c r="E11" s="10">
        <v>45025.0</v>
      </c>
      <c r="F11" s="11">
        <v>85000.0</v>
      </c>
      <c r="G11" s="11">
        <v>47000.0</v>
      </c>
      <c r="H11" s="11">
        <v>26999.0</v>
      </c>
      <c r="I11" s="11">
        <v>22995.0</v>
      </c>
      <c r="J11" s="11">
        <v>4.0</v>
      </c>
      <c r="K11" s="12">
        <f t="shared" si="1"/>
        <v>96994</v>
      </c>
      <c r="L11" s="12">
        <f t="shared" si="2"/>
        <v>-11994</v>
      </c>
      <c r="M11" s="12">
        <f t="shared" si="3"/>
        <v>13856.28571</v>
      </c>
      <c r="N11" s="12">
        <f t="shared" si="4"/>
        <v>3857</v>
      </c>
      <c r="O11" s="13">
        <f t="shared" si="5"/>
        <v>3285</v>
      </c>
      <c r="P11" s="16" t="str">
        <f>VLOOKUP(B11,'Справочник международных путеше'!A10:B19,2,FALSE)</f>
        <v>ИСТИНА</v>
      </c>
      <c r="Q11" s="17" t="s">
        <v>45</v>
      </c>
    </row>
    <row r="12">
      <c r="A12" s="19"/>
      <c r="B12" s="19"/>
      <c r="C12" s="19"/>
      <c r="D12" s="19"/>
      <c r="E12" s="19"/>
      <c r="F12" s="20"/>
      <c r="G12" s="20"/>
      <c r="H12" s="20"/>
      <c r="I12" s="20"/>
      <c r="J12" s="20"/>
      <c r="K12" s="20"/>
      <c r="L12" s="20"/>
      <c r="M12" s="20"/>
      <c r="N12" s="20"/>
      <c r="O12" s="20"/>
      <c r="P12" s="21"/>
      <c r="Q12" s="21"/>
    </row>
    <row r="13">
      <c r="A13" s="19"/>
      <c r="B13" s="19"/>
      <c r="C13" s="19"/>
      <c r="D13" s="19"/>
      <c r="E13" s="19"/>
      <c r="F13" s="21"/>
      <c r="G13" s="21"/>
      <c r="H13" s="21"/>
      <c r="I13" s="21"/>
      <c r="J13" s="21"/>
      <c r="K13" s="21"/>
      <c r="L13" s="21"/>
      <c r="M13" s="21"/>
      <c r="N13" s="21"/>
      <c r="O13" s="21"/>
      <c r="P13" s="21"/>
      <c r="Q13" s="21"/>
    </row>
    <row r="14">
      <c r="A14" s="19"/>
      <c r="B14" s="19"/>
      <c r="C14" s="19"/>
      <c r="D14" s="19"/>
      <c r="E14" s="19"/>
      <c r="F14" s="21"/>
      <c r="G14" s="21"/>
      <c r="H14" s="21"/>
      <c r="I14" s="21"/>
      <c r="J14" s="21"/>
      <c r="K14" s="21"/>
      <c r="L14" s="21"/>
      <c r="M14" s="21"/>
      <c r="N14" s="21"/>
      <c r="O14" s="21"/>
      <c r="P14" s="21"/>
      <c r="Q14" s="21"/>
    </row>
    <row r="15">
      <c r="A15" s="19"/>
      <c r="B15" s="19"/>
      <c r="C15" s="19"/>
      <c r="D15" s="19"/>
      <c r="E15" s="19"/>
      <c r="F15" s="21"/>
      <c r="G15" s="21"/>
      <c r="H15" s="21"/>
      <c r="I15" s="21"/>
      <c r="J15" s="21"/>
      <c r="K15" s="21"/>
      <c r="L15" s="21"/>
      <c r="M15" s="21"/>
      <c r="N15" s="21"/>
      <c r="O15" s="21"/>
      <c r="P15" s="21"/>
      <c r="Q15" s="21"/>
    </row>
    <row r="16">
      <c r="A16" s="19"/>
      <c r="B16" s="19"/>
      <c r="C16" s="19"/>
      <c r="D16" s="19"/>
      <c r="E16" s="19"/>
      <c r="F16" s="21"/>
      <c r="G16" s="21"/>
      <c r="H16" s="21"/>
      <c r="I16" s="21"/>
      <c r="J16" s="21"/>
      <c r="K16" s="21"/>
      <c r="L16" s="21"/>
      <c r="M16" s="21"/>
      <c r="N16" s="21"/>
      <c r="O16" s="21"/>
      <c r="P16" s="21"/>
      <c r="Q16" s="21"/>
    </row>
    <row r="17">
      <c r="A17" s="19"/>
      <c r="B17" s="19"/>
      <c r="C17" s="19"/>
      <c r="D17" s="19"/>
      <c r="E17" s="19"/>
      <c r="F17" s="21"/>
      <c r="G17" s="21"/>
      <c r="H17" s="21"/>
      <c r="I17" s="21"/>
      <c r="J17" s="21"/>
      <c r="K17" s="21"/>
      <c r="L17" s="21"/>
      <c r="M17" s="21"/>
      <c r="N17" s="21"/>
      <c r="O17" s="21"/>
      <c r="P17" s="21"/>
      <c r="Q17" s="21"/>
    </row>
    <row r="18">
      <c r="A18" s="19"/>
      <c r="B18" s="19"/>
      <c r="C18" s="19"/>
      <c r="D18" s="19"/>
      <c r="E18" s="19"/>
      <c r="F18" s="21"/>
      <c r="G18" s="21"/>
      <c r="H18" s="21"/>
      <c r="I18" s="21"/>
      <c r="J18" s="21"/>
      <c r="K18" s="21"/>
      <c r="L18" s="21"/>
      <c r="M18" s="21"/>
      <c r="N18" s="21"/>
      <c r="O18" s="21"/>
      <c r="P18" s="21"/>
      <c r="Q18" s="21"/>
    </row>
    <row r="19">
      <c r="A19" s="19"/>
      <c r="B19" s="19"/>
      <c r="C19" s="19"/>
      <c r="D19" s="19"/>
      <c r="E19" s="19"/>
      <c r="F19" s="21"/>
      <c r="G19" s="21"/>
      <c r="H19" s="21"/>
      <c r="I19" s="21"/>
      <c r="J19" s="21"/>
      <c r="K19" s="21"/>
      <c r="L19" s="21"/>
      <c r="M19" s="21"/>
      <c r="N19" s="21"/>
      <c r="O19" s="21"/>
      <c r="P19" s="21"/>
      <c r="Q19" s="21"/>
    </row>
    <row r="20">
      <c r="A20" s="19"/>
      <c r="B20" s="19"/>
      <c r="C20" s="19"/>
      <c r="D20" s="19"/>
      <c r="E20" s="19"/>
      <c r="F20" s="21"/>
      <c r="G20" s="21"/>
      <c r="H20" s="21"/>
      <c r="I20" s="21"/>
      <c r="J20" s="21"/>
      <c r="K20" s="21"/>
      <c r="L20" s="21"/>
      <c r="M20" s="21"/>
      <c r="N20" s="21"/>
      <c r="O20" s="21"/>
      <c r="P20" s="21"/>
      <c r="Q20" s="21"/>
    </row>
    <row r="21">
      <c r="A21" s="19"/>
      <c r="B21" s="19"/>
      <c r="C21" s="19"/>
      <c r="D21" s="19"/>
      <c r="E21" s="19"/>
      <c r="F21" s="21"/>
      <c r="G21" s="21"/>
      <c r="H21" s="21"/>
      <c r="I21" s="21"/>
      <c r="J21" s="21"/>
      <c r="K21" s="21"/>
      <c r="L21" s="21"/>
      <c r="M21" s="21"/>
      <c r="N21" s="21"/>
      <c r="O21" s="21"/>
      <c r="P21" s="21"/>
      <c r="Q21" s="21"/>
    </row>
    <row r="22">
      <c r="A22" s="19"/>
      <c r="B22" s="19"/>
      <c r="C22" s="19"/>
      <c r="D22" s="19"/>
      <c r="E22" s="19"/>
      <c r="F22" s="21"/>
      <c r="G22" s="21"/>
      <c r="H22" s="21"/>
      <c r="I22" s="21"/>
      <c r="J22" s="21"/>
      <c r="K22" s="21"/>
      <c r="L22" s="21"/>
      <c r="M22" s="21"/>
      <c r="N22" s="21"/>
      <c r="O22" s="21"/>
      <c r="P22" s="21"/>
      <c r="Q22" s="21"/>
    </row>
    <row r="23">
      <c r="A23" s="19"/>
      <c r="B23" s="19"/>
      <c r="C23" s="19"/>
      <c r="D23" s="19"/>
      <c r="E23" s="19"/>
      <c r="F23" s="21"/>
      <c r="G23" s="21"/>
      <c r="H23" s="21"/>
      <c r="I23" s="21"/>
      <c r="J23" s="21"/>
      <c r="K23" s="21"/>
      <c r="L23" s="21"/>
      <c r="M23" s="21"/>
      <c r="N23" s="21"/>
      <c r="O23" s="21"/>
      <c r="P23" s="21"/>
      <c r="Q23" s="21"/>
    </row>
    <row r="24">
      <c r="A24" s="19"/>
      <c r="B24" s="19"/>
      <c r="C24" s="19"/>
      <c r="D24" s="19"/>
      <c r="E24" s="19"/>
      <c r="F24" s="21"/>
      <c r="G24" s="21"/>
      <c r="H24" s="21"/>
      <c r="I24" s="21"/>
      <c r="J24" s="21"/>
      <c r="K24" s="21"/>
      <c r="L24" s="21"/>
      <c r="M24" s="21"/>
      <c r="N24" s="21"/>
      <c r="O24" s="21"/>
      <c r="P24" s="21"/>
      <c r="Q24" s="21"/>
    </row>
    <row r="25">
      <c r="A25" s="19"/>
      <c r="B25" s="19"/>
      <c r="C25" s="19"/>
      <c r="D25" s="19"/>
      <c r="E25" s="19"/>
      <c r="F25" s="21"/>
      <c r="G25" s="21"/>
      <c r="H25" s="21"/>
      <c r="I25" s="21"/>
      <c r="J25" s="21"/>
      <c r="K25" s="21"/>
      <c r="L25" s="21"/>
      <c r="M25" s="21"/>
      <c r="N25" s="21"/>
      <c r="O25" s="21"/>
      <c r="P25" s="21"/>
      <c r="Q25" s="21"/>
    </row>
    <row r="26">
      <c r="A26" s="19"/>
      <c r="B26" s="19"/>
      <c r="C26" s="19"/>
      <c r="D26" s="19"/>
      <c r="E26" s="19"/>
      <c r="F26" s="21"/>
      <c r="G26" s="21"/>
      <c r="H26" s="21"/>
      <c r="I26" s="21"/>
      <c r="J26" s="21"/>
      <c r="K26" s="21"/>
      <c r="L26" s="21"/>
      <c r="M26" s="21"/>
      <c r="N26" s="21"/>
      <c r="O26" s="21"/>
      <c r="P26" s="21"/>
      <c r="Q26" s="21"/>
    </row>
    <row r="27">
      <c r="A27" s="19"/>
      <c r="B27" s="19"/>
      <c r="C27" s="19"/>
      <c r="D27" s="19"/>
      <c r="E27" s="19"/>
      <c r="F27" s="21"/>
      <c r="G27" s="21"/>
      <c r="H27" s="21"/>
      <c r="I27" s="21"/>
      <c r="J27" s="21"/>
      <c r="K27" s="21"/>
      <c r="L27" s="21"/>
      <c r="M27" s="21"/>
      <c r="N27" s="21"/>
      <c r="O27" s="21"/>
      <c r="P27" s="21"/>
      <c r="Q27" s="21"/>
    </row>
    <row r="28">
      <c r="A28" s="19"/>
      <c r="B28" s="19"/>
      <c r="C28" s="19"/>
      <c r="D28" s="19"/>
      <c r="E28" s="19"/>
      <c r="F28" s="21"/>
      <c r="G28" s="21"/>
      <c r="H28" s="21"/>
      <c r="I28" s="21"/>
      <c r="J28" s="21"/>
      <c r="K28" s="21"/>
      <c r="L28" s="21"/>
      <c r="M28" s="21"/>
      <c r="N28" s="21"/>
      <c r="O28" s="21"/>
      <c r="P28" s="21"/>
      <c r="Q28" s="21"/>
    </row>
    <row r="29">
      <c r="A29" s="19"/>
      <c r="B29" s="19"/>
      <c r="C29" s="19"/>
      <c r="D29" s="19"/>
      <c r="E29" s="19"/>
      <c r="F29" s="21"/>
      <c r="G29" s="21"/>
      <c r="H29" s="21"/>
      <c r="I29" s="21"/>
      <c r="J29" s="21"/>
      <c r="K29" s="21"/>
      <c r="L29" s="21"/>
      <c r="M29" s="21"/>
      <c r="N29" s="21"/>
      <c r="O29" s="21"/>
      <c r="P29" s="21"/>
      <c r="Q29" s="21"/>
    </row>
    <row r="30">
      <c r="A30" s="19"/>
      <c r="B30" s="19"/>
      <c r="C30" s="19"/>
      <c r="D30" s="19"/>
      <c r="E30" s="19"/>
      <c r="F30" s="21"/>
      <c r="G30" s="21"/>
      <c r="H30" s="21"/>
      <c r="I30" s="21"/>
      <c r="J30" s="21"/>
      <c r="K30" s="21"/>
      <c r="L30" s="21"/>
      <c r="M30" s="21"/>
      <c r="N30" s="21"/>
      <c r="O30" s="21"/>
      <c r="P30" s="21"/>
      <c r="Q30" s="21"/>
    </row>
    <row r="31">
      <c r="A31" s="19"/>
      <c r="B31" s="19"/>
      <c r="C31" s="19"/>
      <c r="D31" s="19"/>
      <c r="E31" s="19"/>
      <c r="F31" s="21"/>
      <c r="G31" s="21"/>
      <c r="H31" s="21"/>
      <c r="I31" s="21"/>
      <c r="J31" s="21"/>
      <c r="K31" s="21"/>
      <c r="L31" s="21"/>
      <c r="M31" s="21"/>
      <c r="N31" s="21"/>
      <c r="O31" s="21"/>
      <c r="P31" s="21"/>
      <c r="Q31" s="21"/>
    </row>
    <row r="32">
      <c r="A32" s="19"/>
      <c r="B32" s="19"/>
      <c r="C32" s="19"/>
      <c r="D32" s="19"/>
      <c r="E32" s="19"/>
      <c r="F32" s="21"/>
      <c r="G32" s="21"/>
      <c r="H32" s="21"/>
      <c r="I32" s="21"/>
      <c r="J32" s="21"/>
      <c r="K32" s="21"/>
      <c r="L32" s="21"/>
      <c r="M32" s="21"/>
      <c r="N32" s="21"/>
      <c r="O32" s="21"/>
      <c r="P32" s="21"/>
      <c r="Q32" s="21"/>
    </row>
    <row r="33">
      <c r="A33" s="19"/>
      <c r="B33" s="19"/>
      <c r="C33" s="19"/>
      <c r="D33" s="19"/>
      <c r="E33" s="19"/>
      <c r="F33" s="21"/>
      <c r="G33" s="21"/>
      <c r="H33" s="21"/>
      <c r="I33" s="21"/>
      <c r="J33" s="21"/>
      <c r="K33" s="21"/>
      <c r="L33" s="21"/>
      <c r="M33" s="21"/>
      <c r="N33" s="21"/>
      <c r="O33" s="21"/>
      <c r="P33" s="21"/>
      <c r="Q33" s="21"/>
    </row>
    <row r="34">
      <c r="A34" s="19"/>
      <c r="B34" s="19"/>
      <c r="C34" s="19"/>
      <c r="D34" s="19"/>
      <c r="E34" s="19"/>
      <c r="F34" s="21"/>
      <c r="G34" s="21"/>
      <c r="H34" s="21"/>
      <c r="I34" s="21"/>
      <c r="J34" s="21"/>
      <c r="K34" s="21"/>
      <c r="L34" s="21"/>
      <c r="M34" s="21"/>
      <c r="N34" s="21"/>
      <c r="O34" s="21"/>
      <c r="P34" s="21"/>
      <c r="Q34" s="21"/>
    </row>
    <row r="35">
      <c r="A35" s="19"/>
      <c r="B35" s="19"/>
      <c r="C35" s="19"/>
      <c r="D35" s="19"/>
      <c r="E35" s="19"/>
      <c r="F35" s="21"/>
      <c r="G35" s="21"/>
      <c r="H35" s="21"/>
      <c r="I35" s="21"/>
      <c r="J35" s="21"/>
      <c r="K35" s="21"/>
      <c r="L35" s="21"/>
      <c r="M35" s="21"/>
      <c r="N35" s="21"/>
      <c r="O35" s="21"/>
      <c r="P35" s="21"/>
      <c r="Q35" s="21"/>
    </row>
    <row r="36">
      <c r="A36" s="19"/>
      <c r="B36" s="19"/>
      <c r="C36" s="19"/>
      <c r="D36" s="19"/>
      <c r="E36" s="19"/>
      <c r="F36" s="21"/>
      <c r="G36" s="21"/>
      <c r="H36" s="21"/>
      <c r="I36" s="21"/>
      <c r="J36" s="21"/>
      <c r="K36" s="21"/>
      <c r="L36" s="21"/>
      <c r="M36" s="21"/>
      <c r="N36" s="21"/>
      <c r="O36" s="21"/>
      <c r="P36" s="21"/>
      <c r="Q36" s="21"/>
    </row>
    <row r="37">
      <c r="A37" s="19"/>
      <c r="B37" s="19"/>
      <c r="C37" s="19"/>
      <c r="D37" s="19"/>
      <c r="E37" s="19"/>
      <c r="F37" s="21"/>
      <c r="G37" s="21"/>
      <c r="H37" s="21"/>
      <c r="I37" s="21"/>
      <c r="J37" s="21"/>
      <c r="K37" s="21"/>
      <c r="L37" s="21"/>
      <c r="M37" s="21"/>
      <c r="N37" s="21"/>
      <c r="O37" s="21"/>
      <c r="P37" s="21"/>
      <c r="Q37" s="21"/>
    </row>
    <row r="38">
      <c r="A38" s="19"/>
      <c r="B38" s="19"/>
      <c r="C38" s="19"/>
      <c r="D38" s="19"/>
      <c r="E38" s="19"/>
      <c r="F38" s="21"/>
      <c r="G38" s="21"/>
      <c r="H38" s="21"/>
      <c r="I38" s="21"/>
      <c r="J38" s="21"/>
      <c r="K38" s="21"/>
      <c r="L38" s="21"/>
      <c r="M38" s="21"/>
      <c r="N38" s="21"/>
      <c r="O38" s="21"/>
      <c r="P38" s="21"/>
      <c r="Q38" s="21"/>
    </row>
    <row r="39">
      <c r="A39" s="19"/>
      <c r="B39" s="19"/>
      <c r="C39" s="19"/>
      <c r="D39" s="19"/>
      <c r="E39" s="19"/>
      <c r="F39" s="21"/>
      <c r="G39" s="21"/>
      <c r="H39" s="21"/>
      <c r="I39" s="21"/>
      <c r="J39" s="21"/>
      <c r="K39" s="21"/>
      <c r="L39" s="21"/>
      <c r="M39" s="21"/>
      <c r="N39" s="21"/>
      <c r="O39" s="21"/>
      <c r="P39" s="21"/>
      <c r="Q39" s="21"/>
    </row>
    <row r="40">
      <c r="A40" s="19"/>
      <c r="B40" s="19"/>
      <c r="C40" s="19"/>
      <c r="D40" s="19"/>
      <c r="E40" s="19"/>
      <c r="F40" s="21"/>
      <c r="G40" s="21"/>
      <c r="H40" s="21"/>
      <c r="I40" s="21"/>
      <c r="J40" s="21"/>
      <c r="K40" s="21"/>
      <c r="L40" s="21"/>
      <c r="M40" s="21"/>
      <c r="N40" s="21"/>
      <c r="O40" s="21"/>
      <c r="P40" s="21"/>
      <c r="Q40" s="21"/>
    </row>
    <row r="41">
      <c r="A41" s="19"/>
      <c r="B41" s="19"/>
      <c r="C41" s="19"/>
      <c r="D41" s="19"/>
      <c r="E41" s="19"/>
      <c r="F41" s="21"/>
      <c r="G41" s="21"/>
      <c r="H41" s="21"/>
      <c r="I41" s="21"/>
      <c r="J41" s="21"/>
      <c r="K41" s="21"/>
      <c r="L41" s="21"/>
      <c r="M41" s="21"/>
      <c r="N41" s="21"/>
      <c r="O41" s="21"/>
      <c r="P41" s="21"/>
      <c r="Q41" s="21"/>
    </row>
    <row r="42">
      <c r="A42" s="19"/>
      <c r="B42" s="19"/>
      <c r="C42" s="19"/>
      <c r="D42" s="19"/>
      <c r="E42" s="19"/>
      <c r="F42" s="21"/>
      <c r="G42" s="21"/>
      <c r="H42" s="21"/>
      <c r="I42" s="21"/>
      <c r="J42" s="21"/>
      <c r="K42" s="21"/>
      <c r="L42" s="21"/>
      <c r="M42" s="21"/>
      <c r="N42" s="21"/>
      <c r="O42" s="21"/>
      <c r="P42" s="21"/>
      <c r="Q42" s="21"/>
    </row>
    <row r="43">
      <c r="A43" s="19"/>
      <c r="B43" s="19"/>
      <c r="C43" s="19"/>
      <c r="D43" s="19"/>
      <c r="E43" s="19"/>
      <c r="F43" s="21"/>
      <c r="G43" s="21"/>
      <c r="H43" s="21"/>
      <c r="I43" s="21"/>
      <c r="J43" s="21"/>
      <c r="K43" s="21"/>
      <c r="L43" s="21"/>
      <c r="M43" s="21"/>
      <c r="N43" s="21"/>
      <c r="O43" s="21"/>
      <c r="P43" s="21"/>
      <c r="Q43" s="21"/>
    </row>
    <row r="44">
      <c r="A44" s="19"/>
      <c r="B44" s="19"/>
      <c r="C44" s="19"/>
      <c r="D44" s="19"/>
      <c r="E44" s="19"/>
      <c r="F44" s="21"/>
      <c r="G44" s="21"/>
      <c r="H44" s="21"/>
      <c r="I44" s="21"/>
      <c r="J44" s="21"/>
      <c r="K44" s="21"/>
      <c r="L44" s="21"/>
      <c r="M44" s="21"/>
      <c r="N44" s="21"/>
      <c r="O44" s="21"/>
      <c r="P44" s="21"/>
      <c r="Q44" s="21"/>
    </row>
    <row r="45">
      <c r="A45" s="19"/>
      <c r="B45" s="19"/>
      <c r="C45" s="19"/>
      <c r="D45" s="19"/>
      <c r="E45" s="19"/>
      <c r="F45" s="21"/>
      <c r="G45" s="21"/>
      <c r="H45" s="21"/>
      <c r="I45" s="21"/>
      <c r="J45" s="21"/>
      <c r="K45" s="21"/>
      <c r="L45" s="21"/>
      <c r="M45" s="21"/>
      <c r="N45" s="21"/>
      <c r="O45" s="21"/>
      <c r="P45" s="21"/>
      <c r="Q45" s="21"/>
    </row>
    <row r="46">
      <c r="A46" s="19"/>
      <c r="B46" s="19"/>
      <c r="C46" s="19"/>
      <c r="D46" s="19"/>
      <c r="E46" s="19"/>
      <c r="F46" s="21"/>
      <c r="G46" s="21"/>
      <c r="H46" s="21"/>
      <c r="I46" s="21"/>
      <c r="J46" s="21"/>
      <c r="K46" s="21"/>
      <c r="L46" s="21"/>
      <c r="M46" s="21"/>
      <c r="N46" s="21"/>
      <c r="O46" s="21"/>
      <c r="P46" s="21"/>
      <c r="Q46" s="21"/>
    </row>
    <row r="47">
      <c r="A47" s="19"/>
      <c r="B47" s="19"/>
      <c r="C47" s="19"/>
      <c r="D47" s="19"/>
      <c r="E47" s="19"/>
      <c r="F47" s="21"/>
      <c r="G47" s="21"/>
      <c r="H47" s="21"/>
      <c r="I47" s="21"/>
      <c r="J47" s="21"/>
      <c r="K47" s="21"/>
      <c r="L47" s="21"/>
      <c r="M47" s="21"/>
      <c r="N47" s="21"/>
      <c r="O47" s="21"/>
      <c r="P47" s="21"/>
      <c r="Q47" s="21"/>
    </row>
    <row r="48">
      <c r="A48" s="19"/>
      <c r="B48" s="19"/>
      <c r="C48" s="19"/>
      <c r="D48" s="19"/>
      <c r="E48" s="19"/>
      <c r="F48" s="21"/>
      <c r="G48" s="21"/>
      <c r="H48" s="21"/>
      <c r="I48" s="21"/>
      <c r="J48" s="21"/>
      <c r="K48" s="21"/>
      <c r="L48" s="21"/>
      <c r="M48" s="21"/>
      <c r="N48" s="21"/>
      <c r="O48" s="21"/>
      <c r="P48" s="21"/>
      <c r="Q48" s="21"/>
    </row>
    <row r="49">
      <c r="A49" s="19"/>
      <c r="B49" s="19"/>
      <c r="C49" s="19"/>
      <c r="D49" s="19"/>
      <c r="E49" s="19"/>
      <c r="F49" s="21"/>
      <c r="G49" s="21"/>
      <c r="H49" s="21"/>
      <c r="I49" s="21"/>
      <c r="J49" s="21"/>
      <c r="K49" s="21"/>
      <c r="L49" s="21"/>
      <c r="M49" s="21"/>
      <c r="N49" s="21"/>
      <c r="O49" s="21"/>
      <c r="P49" s="21"/>
      <c r="Q49" s="21"/>
    </row>
    <row r="50">
      <c r="A50" s="19"/>
      <c r="B50" s="19"/>
      <c r="C50" s="19"/>
      <c r="D50" s="19"/>
      <c r="E50" s="19"/>
      <c r="F50" s="21"/>
      <c r="G50" s="21"/>
      <c r="H50" s="21"/>
      <c r="I50" s="21"/>
      <c r="J50" s="21"/>
      <c r="K50" s="21"/>
      <c r="L50" s="21"/>
      <c r="M50" s="21"/>
      <c r="N50" s="21"/>
      <c r="O50" s="21"/>
      <c r="P50" s="21"/>
      <c r="Q50" s="21"/>
    </row>
    <row r="51">
      <c r="A51" s="19"/>
      <c r="B51" s="19"/>
      <c r="C51" s="19"/>
      <c r="D51" s="19"/>
      <c r="E51" s="19"/>
      <c r="F51" s="21"/>
      <c r="G51" s="21"/>
      <c r="H51" s="21"/>
      <c r="I51" s="21"/>
      <c r="J51" s="21"/>
      <c r="K51" s="21"/>
      <c r="L51" s="21"/>
      <c r="M51" s="21"/>
      <c r="N51" s="21"/>
      <c r="O51" s="21"/>
      <c r="P51" s="21"/>
      <c r="Q51" s="21"/>
    </row>
    <row r="52">
      <c r="A52" s="19"/>
      <c r="B52" s="19"/>
      <c r="C52" s="19"/>
      <c r="D52" s="19"/>
      <c r="E52" s="19"/>
      <c r="F52" s="21"/>
      <c r="G52" s="21"/>
      <c r="H52" s="21"/>
      <c r="I52" s="21"/>
      <c r="J52" s="21"/>
      <c r="K52" s="21"/>
      <c r="L52" s="21"/>
      <c r="M52" s="21"/>
      <c r="N52" s="21"/>
      <c r="O52" s="21"/>
      <c r="P52" s="21"/>
      <c r="Q52" s="21"/>
    </row>
    <row r="53">
      <c r="A53" s="19"/>
      <c r="B53" s="19"/>
      <c r="C53" s="19"/>
      <c r="D53" s="19"/>
      <c r="E53" s="19"/>
      <c r="F53" s="21"/>
      <c r="G53" s="21"/>
      <c r="H53" s="21"/>
      <c r="I53" s="21"/>
      <c r="J53" s="21"/>
      <c r="K53" s="21"/>
      <c r="L53" s="21"/>
      <c r="M53" s="21"/>
      <c r="N53" s="21"/>
      <c r="O53" s="21"/>
      <c r="P53" s="21"/>
      <c r="Q53" s="21"/>
    </row>
    <row r="54">
      <c r="A54" s="19"/>
      <c r="B54" s="19"/>
      <c r="C54" s="19"/>
      <c r="D54" s="19"/>
      <c r="E54" s="19"/>
      <c r="F54" s="21"/>
      <c r="G54" s="21"/>
      <c r="H54" s="21"/>
      <c r="I54" s="21"/>
      <c r="J54" s="21"/>
      <c r="K54" s="21"/>
      <c r="L54" s="21"/>
      <c r="M54" s="21"/>
      <c r="N54" s="21"/>
      <c r="O54" s="21"/>
      <c r="P54" s="21"/>
      <c r="Q54" s="21"/>
    </row>
    <row r="55">
      <c r="A55" s="19"/>
      <c r="B55" s="19"/>
      <c r="C55" s="19"/>
      <c r="D55" s="19"/>
      <c r="E55" s="19"/>
      <c r="F55" s="21"/>
      <c r="G55" s="21"/>
      <c r="H55" s="21"/>
      <c r="I55" s="21"/>
      <c r="J55" s="21"/>
      <c r="K55" s="21"/>
      <c r="L55" s="21"/>
      <c r="M55" s="21"/>
      <c r="N55" s="21"/>
      <c r="O55" s="21"/>
      <c r="P55" s="21"/>
      <c r="Q55" s="21"/>
    </row>
    <row r="56">
      <c r="A56" s="19"/>
      <c r="B56" s="19"/>
      <c r="C56" s="19"/>
      <c r="D56" s="19"/>
      <c r="E56" s="19"/>
      <c r="F56" s="21"/>
      <c r="G56" s="21"/>
      <c r="H56" s="21"/>
      <c r="I56" s="21"/>
      <c r="J56" s="21"/>
      <c r="K56" s="21"/>
      <c r="L56" s="21"/>
      <c r="M56" s="21"/>
      <c r="N56" s="21"/>
      <c r="O56" s="21"/>
      <c r="P56" s="21"/>
      <c r="Q56" s="21"/>
    </row>
    <row r="57">
      <c r="A57" s="19"/>
      <c r="B57" s="19"/>
      <c r="C57" s="19"/>
      <c r="D57" s="19"/>
      <c r="E57" s="19"/>
      <c r="F57" s="21"/>
      <c r="G57" s="21"/>
      <c r="H57" s="21"/>
      <c r="I57" s="21"/>
      <c r="J57" s="21"/>
      <c r="K57" s="21"/>
      <c r="L57" s="21"/>
      <c r="M57" s="21"/>
      <c r="N57" s="21"/>
      <c r="O57" s="21"/>
      <c r="P57" s="21"/>
      <c r="Q57" s="21"/>
    </row>
    <row r="58">
      <c r="A58" s="19"/>
      <c r="B58" s="19"/>
      <c r="C58" s="19"/>
      <c r="D58" s="19"/>
      <c r="E58" s="19"/>
      <c r="F58" s="21"/>
      <c r="G58" s="21"/>
      <c r="H58" s="21"/>
      <c r="I58" s="21"/>
      <c r="J58" s="21"/>
      <c r="K58" s="21"/>
      <c r="L58" s="21"/>
      <c r="M58" s="21"/>
      <c r="N58" s="21"/>
      <c r="O58" s="21"/>
      <c r="P58" s="21"/>
      <c r="Q58" s="21"/>
    </row>
    <row r="59">
      <c r="A59" s="19"/>
      <c r="B59" s="19"/>
      <c r="C59" s="19"/>
      <c r="D59" s="19"/>
      <c r="E59" s="19"/>
      <c r="F59" s="21"/>
      <c r="G59" s="21"/>
      <c r="H59" s="21"/>
      <c r="I59" s="21"/>
      <c r="J59" s="21"/>
      <c r="K59" s="21"/>
      <c r="L59" s="21"/>
      <c r="M59" s="21"/>
      <c r="N59" s="21"/>
      <c r="O59" s="21"/>
      <c r="P59" s="21"/>
      <c r="Q59" s="21"/>
    </row>
    <row r="60">
      <c r="A60" s="19"/>
      <c r="B60" s="19"/>
      <c r="C60" s="19"/>
      <c r="D60" s="19"/>
      <c r="E60" s="19"/>
      <c r="F60" s="21"/>
      <c r="G60" s="21"/>
      <c r="H60" s="21"/>
      <c r="I60" s="21"/>
      <c r="J60" s="21"/>
      <c r="K60" s="21"/>
      <c r="L60" s="21"/>
      <c r="M60" s="21"/>
      <c r="N60" s="21"/>
      <c r="O60" s="21"/>
      <c r="P60" s="21"/>
      <c r="Q60" s="21"/>
    </row>
    <row r="61">
      <c r="A61" s="19"/>
      <c r="B61" s="19"/>
      <c r="C61" s="19"/>
      <c r="D61" s="19"/>
      <c r="E61" s="19"/>
      <c r="F61" s="21"/>
      <c r="G61" s="21"/>
      <c r="H61" s="21"/>
      <c r="I61" s="21"/>
      <c r="J61" s="21"/>
      <c r="K61" s="21"/>
      <c r="L61" s="21"/>
      <c r="M61" s="21"/>
      <c r="N61" s="21"/>
      <c r="O61" s="21"/>
      <c r="P61" s="21"/>
      <c r="Q61" s="21"/>
    </row>
    <row r="62">
      <c r="A62" s="19"/>
      <c r="B62" s="19"/>
      <c r="C62" s="19"/>
      <c r="D62" s="19"/>
      <c r="E62" s="19"/>
      <c r="F62" s="21"/>
      <c r="G62" s="21"/>
      <c r="H62" s="21"/>
      <c r="I62" s="21"/>
      <c r="J62" s="21"/>
      <c r="K62" s="21"/>
      <c r="L62" s="21"/>
      <c r="M62" s="21"/>
      <c r="N62" s="21"/>
      <c r="O62" s="21"/>
      <c r="P62" s="21"/>
      <c r="Q62" s="21"/>
    </row>
    <row r="63">
      <c r="A63" s="19"/>
      <c r="B63" s="19"/>
      <c r="C63" s="19"/>
      <c r="D63" s="19"/>
      <c r="E63" s="19"/>
      <c r="F63" s="21"/>
      <c r="G63" s="21"/>
      <c r="H63" s="21"/>
      <c r="I63" s="21"/>
      <c r="J63" s="21"/>
      <c r="K63" s="21"/>
      <c r="L63" s="21"/>
      <c r="M63" s="21"/>
      <c r="N63" s="21"/>
      <c r="O63" s="21"/>
      <c r="P63" s="21"/>
      <c r="Q63" s="21"/>
    </row>
    <row r="64">
      <c r="A64" s="19"/>
      <c r="B64" s="19"/>
      <c r="C64" s="19"/>
      <c r="D64" s="19"/>
      <c r="E64" s="19"/>
      <c r="F64" s="21"/>
      <c r="G64" s="21"/>
      <c r="H64" s="21"/>
      <c r="I64" s="21"/>
      <c r="J64" s="21"/>
      <c r="K64" s="21"/>
      <c r="L64" s="21"/>
      <c r="M64" s="21"/>
      <c r="N64" s="21"/>
      <c r="O64" s="21"/>
      <c r="P64" s="21"/>
      <c r="Q64" s="21"/>
    </row>
    <row r="65">
      <c r="A65" s="19"/>
      <c r="B65" s="19"/>
      <c r="C65" s="19"/>
      <c r="D65" s="19"/>
      <c r="E65" s="19"/>
      <c r="F65" s="21"/>
      <c r="G65" s="21"/>
      <c r="H65" s="21"/>
      <c r="I65" s="21"/>
      <c r="J65" s="21"/>
      <c r="K65" s="21"/>
      <c r="L65" s="21"/>
      <c r="M65" s="21"/>
      <c r="N65" s="21"/>
      <c r="O65" s="21"/>
      <c r="P65" s="21"/>
      <c r="Q65" s="21"/>
    </row>
    <row r="66">
      <c r="A66" s="19"/>
      <c r="B66" s="19"/>
      <c r="C66" s="19"/>
      <c r="D66" s="19"/>
      <c r="E66" s="19"/>
      <c r="F66" s="21"/>
      <c r="G66" s="21"/>
      <c r="H66" s="21"/>
      <c r="I66" s="21"/>
      <c r="J66" s="21"/>
      <c r="K66" s="21"/>
      <c r="L66" s="21"/>
      <c r="M66" s="21"/>
      <c r="N66" s="21"/>
      <c r="O66" s="21"/>
      <c r="P66" s="21"/>
      <c r="Q66" s="21"/>
    </row>
    <row r="67">
      <c r="A67" s="19"/>
      <c r="B67" s="19"/>
      <c r="C67" s="19"/>
      <c r="D67" s="19"/>
      <c r="E67" s="19"/>
      <c r="F67" s="21"/>
      <c r="G67" s="21"/>
      <c r="H67" s="21"/>
      <c r="I67" s="21"/>
      <c r="J67" s="21"/>
      <c r="K67" s="21"/>
      <c r="L67" s="21"/>
      <c r="M67" s="21"/>
      <c r="N67" s="21"/>
      <c r="O67" s="21"/>
      <c r="P67" s="21"/>
      <c r="Q67" s="21"/>
    </row>
    <row r="68">
      <c r="A68" s="19"/>
      <c r="B68" s="19"/>
      <c r="C68" s="19"/>
      <c r="D68" s="19"/>
      <c r="E68" s="19"/>
      <c r="F68" s="21"/>
      <c r="G68" s="21"/>
      <c r="H68" s="21"/>
      <c r="I68" s="21"/>
      <c r="J68" s="21"/>
      <c r="K68" s="21"/>
      <c r="L68" s="21"/>
      <c r="M68" s="21"/>
      <c r="N68" s="21"/>
      <c r="O68" s="21"/>
      <c r="P68" s="21"/>
      <c r="Q68" s="21"/>
    </row>
    <row r="69">
      <c r="A69" s="19"/>
      <c r="B69" s="19"/>
      <c r="C69" s="19"/>
      <c r="D69" s="19"/>
      <c r="E69" s="19"/>
      <c r="F69" s="21"/>
      <c r="G69" s="21"/>
      <c r="H69" s="21"/>
      <c r="I69" s="21"/>
      <c r="J69" s="21"/>
      <c r="K69" s="21"/>
      <c r="L69" s="21"/>
      <c r="M69" s="21"/>
      <c r="N69" s="21"/>
      <c r="O69" s="21"/>
      <c r="P69" s="21"/>
      <c r="Q69" s="21"/>
    </row>
    <row r="70">
      <c r="A70" s="19"/>
      <c r="B70" s="19"/>
      <c r="C70" s="19"/>
      <c r="D70" s="19"/>
      <c r="E70" s="19"/>
      <c r="F70" s="21"/>
      <c r="G70" s="21"/>
      <c r="H70" s="21"/>
      <c r="I70" s="21"/>
      <c r="J70" s="21"/>
      <c r="K70" s="21"/>
      <c r="L70" s="21"/>
      <c r="M70" s="21"/>
      <c r="N70" s="21"/>
      <c r="O70" s="21"/>
      <c r="P70" s="21"/>
      <c r="Q70" s="21"/>
    </row>
    <row r="71">
      <c r="A71" s="19"/>
      <c r="B71" s="19"/>
      <c r="C71" s="19"/>
      <c r="D71" s="19"/>
      <c r="E71" s="19"/>
      <c r="F71" s="21"/>
      <c r="G71" s="21"/>
      <c r="H71" s="21"/>
      <c r="I71" s="21"/>
      <c r="J71" s="21"/>
      <c r="K71" s="21"/>
      <c r="L71" s="21"/>
      <c r="M71" s="21"/>
      <c r="N71" s="21"/>
      <c r="O71" s="21"/>
      <c r="P71" s="21"/>
      <c r="Q71" s="21"/>
    </row>
    <row r="72">
      <c r="A72" s="19"/>
      <c r="B72" s="19"/>
      <c r="C72" s="19"/>
      <c r="D72" s="19"/>
      <c r="E72" s="19"/>
      <c r="F72" s="21"/>
      <c r="G72" s="21"/>
      <c r="H72" s="21"/>
      <c r="I72" s="21"/>
      <c r="J72" s="21"/>
      <c r="K72" s="21"/>
      <c r="L72" s="21"/>
      <c r="M72" s="21"/>
      <c r="N72" s="21"/>
      <c r="O72" s="21"/>
      <c r="P72" s="21"/>
      <c r="Q72" s="21"/>
    </row>
    <row r="73">
      <c r="A73" s="19"/>
      <c r="B73" s="19"/>
      <c r="C73" s="19"/>
      <c r="D73" s="19"/>
      <c r="E73" s="19"/>
      <c r="F73" s="21"/>
      <c r="G73" s="21"/>
      <c r="H73" s="21"/>
      <c r="I73" s="21"/>
      <c r="J73" s="21"/>
      <c r="K73" s="21"/>
      <c r="L73" s="21"/>
      <c r="M73" s="21"/>
      <c r="N73" s="21"/>
      <c r="O73" s="21"/>
      <c r="P73" s="21"/>
      <c r="Q73" s="21"/>
    </row>
    <row r="74">
      <c r="A74" s="19"/>
      <c r="B74" s="19"/>
      <c r="C74" s="19"/>
      <c r="D74" s="19"/>
      <c r="E74" s="19"/>
      <c r="F74" s="21"/>
      <c r="G74" s="21"/>
      <c r="H74" s="21"/>
      <c r="I74" s="21"/>
      <c r="J74" s="21"/>
      <c r="K74" s="21"/>
      <c r="L74" s="21"/>
      <c r="M74" s="21"/>
      <c r="N74" s="21"/>
      <c r="O74" s="21"/>
      <c r="P74" s="21"/>
      <c r="Q74" s="21"/>
    </row>
    <row r="75">
      <c r="A75" s="19"/>
      <c r="B75" s="19"/>
      <c r="C75" s="19"/>
      <c r="D75" s="19"/>
      <c r="E75" s="19"/>
      <c r="F75" s="21"/>
      <c r="G75" s="21"/>
      <c r="H75" s="21"/>
      <c r="I75" s="21"/>
      <c r="J75" s="21"/>
      <c r="K75" s="21"/>
      <c r="L75" s="21"/>
      <c r="M75" s="21"/>
      <c r="N75" s="21"/>
      <c r="O75" s="21"/>
      <c r="P75" s="21"/>
      <c r="Q75" s="21"/>
    </row>
    <row r="76">
      <c r="A76" s="19"/>
      <c r="B76" s="19"/>
      <c r="C76" s="19"/>
      <c r="D76" s="19"/>
      <c r="E76" s="19"/>
      <c r="F76" s="21"/>
      <c r="G76" s="21"/>
      <c r="H76" s="21"/>
      <c r="I76" s="21"/>
      <c r="J76" s="21"/>
      <c r="K76" s="21"/>
      <c r="L76" s="21"/>
      <c r="M76" s="21"/>
      <c r="N76" s="21"/>
      <c r="O76" s="21"/>
      <c r="P76" s="21"/>
      <c r="Q76" s="21"/>
    </row>
    <row r="77">
      <c r="A77" s="19"/>
      <c r="B77" s="19"/>
      <c r="C77" s="19"/>
      <c r="D77" s="19"/>
      <c r="E77" s="19"/>
      <c r="F77" s="21"/>
      <c r="G77" s="21"/>
      <c r="H77" s="21"/>
      <c r="I77" s="21"/>
      <c r="J77" s="21"/>
      <c r="K77" s="21"/>
      <c r="L77" s="21"/>
      <c r="M77" s="21"/>
      <c r="N77" s="21"/>
      <c r="O77" s="21"/>
      <c r="P77" s="21"/>
      <c r="Q77" s="21"/>
    </row>
    <row r="78">
      <c r="A78" s="19"/>
      <c r="B78" s="19"/>
      <c r="C78" s="19"/>
      <c r="D78" s="19"/>
      <c r="E78" s="19"/>
      <c r="F78" s="21"/>
      <c r="G78" s="21"/>
      <c r="H78" s="21"/>
      <c r="I78" s="21"/>
      <c r="J78" s="21"/>
      <c r="K78" s="21"/>
      <c r="L78" s="21"/>
      <c r="M78" s="21"/>
      <c r="N78" s="21"/>
      <c r="O78" s="21"/>
      <c r="P78" s="21"/>
      <c r="Q78" s="21"/>
    </row>
    <row r="79">
      <c r="A79" s="19"/>
      <c r="B79" s="19"/>
      <c r="C79" s="19"/>
      <c r="D79" s="19"/>
      <c r="E79" s="19"/>
      <c r="F79" s="21"/>
      <c r="G79" s="21"/>
      <c r="H79" s="21"/>
      <c r="I79" s="21"/>
      <c r="J79" s="21"/>
      <c r="K79" s="21"/>
      <c r="L79" s="21"/>
      <c r="M79" s="21"/>
      <c r="N79" s="21"/>
      <c r="O79" s="21"/>
      <c r="P79" s="21"/>
      <c r="Q79" s="21"/>
    </row>
    <row r="80">
      <c r="A80" s="19"/>
      <c r="B80" s="19"/>
      <c r="C80" s="19"/>
      <c r="D80" s="19"/>
      <c r="E80" s="19"/>
      <c r="F80" s="21"/>
      <c r="G80" s="21"/>
      <c r="H80" s="21"/>
      <c r="I80" s="21"/>
      <c r="J80" s="21"/>
      <c r="K80" s="21"/>
      <c r="L80" s="21"/>
      <c r="M80" s="21"/>
      <c r="N80" s="21"/>
      <c r="O80" s="21"/>
      <c r="P80" s="21"/>
      <c r="Q80" s="21"/>
    </row>
    <row r="81">
      <c r="A81" s="19"/>
      <c r="B81" s="19"/>
      <c r="C81" s="19"/>
      <c r="D81" s="19"/>
      <c r="E81" s="19"/>
      <c r="F81" s="21"/>
      <c r="G81" s="21"/>
      <c r="H81" s="21"/>
      <c r="I81" s="21"/>
      <c r="J81" s="21"/>
      <c r="K81" s="21"/>
      <c r="L81" s="21"/>
      <c r="M81" s="21"/>
      <c r="N81" s="21"/>
      <c r="O81" s="21"/>
      <c r="P81" s="21"/>
      <c r="Q81" s="21"/>
    </row>
    <row r="82">
      <c r="A82" s="19"/>
      <c r="B82" s="19"/>
      <c r="C82" s="19"/>
      <c r="D82" s="19"/>
      <c r="E82" s="19"/>
      <c r="F82" s="21"/>
      <c r="G82" s="21"/>
      <c r="H82" s="21"/>
      <c r="I82" s="21"/>
      <c r="J82" s="21"/>
      <c r="K82" s="21"/>
      <c r="L82" s="21"/>
      <c r="M82" s="21"/>
      <c r="N82" s="21"/>
      <c r="O82" s="21"/>
      <c r="P82" s="21"/>
      <c r="Q82" s="21"/>
    </row>
    <row r="83">
      <c r="A83" s="19"/>
      <c r="B83" s="19"/>
      <c r="C83" s="19"/>
      <c r="D83" s="19"/>
      <c r="E83" s="19"/>
      <c r="F83" s="21"/>
      <c r="G83" s="21"/>
      <c r="H83" s="21"/>
      <c r="I83" s="21"/>
      <c r="J83" s="21"/>
      <c r="K83" s="21"/>
      <c r="L83" s="21"/>
      <c r="M83" s="21"/>
      <c r="N83" s="21"/>
      <c r="O83" s="21"/>
      <c r="P83" s="21"/>
      <c r="Q83" s="21"/>
    </row>
    <row r="84">
      <c r="A84" s="19"/>
      <c r="B84" s="19"/>
      <c r="C84" s="19"/>
      <c r="D84" s="19"/>
      <c r="E84" s="19"/>
      <c r="F84" s="21"/>
      <c r="G84" s="21"/>
      <c r="H84" s="21"/>
      <c r="I84" s="21"/>
      <c r="J84" s="21"/>
      <c r="K84" s="21"/>
      <c r="L84" s="21"/>
      <c r="M84" s="21"/>
      <c r="N84" s="21"/>
      <c r="O84" s="21"/>
      <c r="P84" s="21"/>
      <c r="Q84" s="21"/>
    </row>
    <row r="85">
      <c r="A85" s="19"/>
      <c r="B85" s="19"/>
      <c r="C85" s="19"/>
      <c r="D85" s="19"/>
      <c r="E85" s="19"/>
      <c r="F85" s="21"/>
      <c r="G85" s="21"/>
      <c r="H85" s="21"/>
      <c r="I85" s="21"/>
      <c r="J85" s="21"/>
      <c r="K85" s="21"/>
      <c r="L85" s="21"/>
      <c r="M85" s="21"/>
      <c r="N85" s="21"/>
      <c r="O85" s="21"/>
      <c r="P85" s="21"/>
      <c r="Q85" s="21"/>
    </row>
    <row r="86">
      <c r="A86" s="19"/>
      <c r="B86" s="19"/>
      <c r="C86" s="19"/>
      <c r="D86" s="19"/>
      <c r="E86" s="19"/>
      <c r="F86" s="21"/>
      <c r="G86" s="21"/>
      <c r="H86" s="21"/>
      <c r="I86" s="21"/>
      <c r="J86" s="21"/>
      <c r="K86" s="21"/>
      <c r="L86" s="21"/>
      <c r="M86" s="21"/>
      <c r="N86" s="21"/>
      <c r="O86" s="21"/>
      <c r="P86" s="21"/>
      <c r="Q86" s="21"/>
    </row>
    <row r="87">
      <c r="A87" s="19"/>
      <c r="B87" s="19"/>
      <c r="C87" s="19"/>
      <c r="D87" s="19"/>
      <c r="E87" s="19"/>
      <c r="F87" s="21"/>
      <c r="G87" s="21"/>
      <c r="H87" s="21"/>
      <c r="I87" s="21"/>
      <c r="J87" s="21"/>
      <c r="K87" s="21"/>
      <c r="L87" s="21"/>
      <c r="M87" s="21"/>
      <c r="N87" s="21"/>
      <c r="O87" s="21"/>
      <c r="P87" s="21"/>
      <c r="Q87" s="21"/>
    </row>
    <row r="88">
      <c r="A88" s="19"/>
      <c r="B88" s="19"/>
      <c r="C88" s="19"/>
      <c r="D88" s="19"/>
      <c r="E88" s="19"/>
      <c r="F88" s="21"/>
      <c r="G88" s="21"/>
      <c r="H88" s="21"/>
      <c r="I88" s="21"/>
      <c r="J88" s="21"/>
      <c r="K88" s="21"/>
      <c r="L88" s="21"/>
      <c r="M88" s="21"/>
      <c r="N88" s="21"/>
      <c r="O88" s="21"/>
      <c r="P88" s="21"/>
      <c r="Q88" s="21"/>
    </row>
    <row r="89">
      <c r="A89" s="19"/>
      <c r="B89" s="19"/>
      <c r="C89" s="19"/>
      <c r="D89" s="19"/>
      <c r="E89" s="19"/>
      <c r="F89" s="21"/>
      <c r="G89" s="21"/>
      <c r="H89" s="21"/>
      <c r="I89" s="21"/>
      <c r="J89" s="21"/>
      <c r="K89" s="21"/>
      <c r="L89" s="21"/>
      <c r="M89" s="21"/>
      <c r="N89" s="21"/>
      <c r="O89" s="21"/>
      <c r="P89" s="21"/>
      <c r="Q89" s="21"/>
    </row>
    <row r="90">
      <c r="A90" s="19"/>
      <c r="B90" s="19"/>
      <c r="C90" s="19"/>
      <c r="D90" s="19"/>
      <c r="E90" s="19"/>
      <c r="F90" s="21"/>
      <c r="G90" s="21"/>
      <c r="H90" s="21"/>
      <c r="I90" s="21"/>
      <c r="J90" s="21"/>
      <c r="K90" s="21"/>
      <c r="L90" s="21"/>
      <c r="M90" s="21"/>
      <c r="N90" s="21"/>
      <c r="O90" s="21"/>
      <c r="P90" s="21"/>
      <c r="Q90" s="21"/>
    </row>
    <row r="91">
      <c r="A91" s="19"/>
      <c r="B91" s="19"/>
      <c r="C91" s="19"/>
      <c r="D91" s="19"/>
      <c r="E91" s="19"/>
      <c r="F91" s="21"/>
      <c r="G91" s="21"/>
      <c r="H91" s="21"/>
      <c r="I91" s="21"/>
      <c r="J91" s="21"/>
      <c r="K91" s="21"/>
      <c r="L91" s="21"/>
      <c r="M91" s="21"/>
      <c r="N91" s="21"/>
      <c r="O91" s="21"/>
      <c r="P91" s="21"/>
      <c r="Q91" s="21"/>
    </row>
    <row r="92">
      <c r="A92" s="19"/>
      <c r="B92" s="19"/>
      <c r="C92" s="19"/>
      <c r="D92" s="19"/>
      <c r="E92" s="19"/>
      <c r="F92" s="21"/>
      <c r="G92" s="21"/>
      <c r="H92" s="21"/>
      <c r="I92" s="21"/>
      <c r="J92" s="21"/>
      <c r="K92" s="21"/>
      <c r="L92" s="21"/>
      <c r="M92" s="21"/>
      <c r="N92" s="21"/>
      <c r="O92" s="21"/>
      <c r="P92" s="21"/>
      <c r="Q92" s="21"/>
    </row>
    <row r="93">
      <c r="A93" s="19"/>
      <c r="B93" s="19"/>
      <c r="C93" s="19"/>
      <c r="D93" s="19"/>
      <c r="E93" s="19"/>
      <c r="F93" s="21"/>
      <c r="G93" s="21"/>
      <c r="H93" s="21"/>
      <c r="I93" s="21"/>
      <c r="J93" s="21"/>
      <c r="K93" s="21"/>
      <c r="L93" s="21"/>
      <c r="M93" s="21"/>
      <c r="N93" s="21"/>
      <c r="O93" s="21"/>
      <c r="P93" s="21"/>
      <c r="Q93" s="21"/>
    </row>
    <row r="94">
      <c r="A94" s="19"/>
      <c r="B94" s="19"/>
      <c r="C94" s="19"/>
      <c r="D94" s="19"/>
      <c r="E94" s="19"/>
      <c r="F94" s="21"/>
      <c r="G94" s="21"/>
      <c r="H94" s="21"/>
      <c r="I94" s="21"/>
      <c r="J94" s="21"/>
      <c r="K94" s="21"/>
      <c r="L94" s="21"/>
      <c r="M94" s="21"/>
      <c r="N94" s="21"/>
      <c r="O94" s="21"/>
      <c r="P94" s="21"/>
      <c r="Q94" s="21"/>
    </row>
    <row r="95">
      <c r="A95" s="19"/>
      <c r="B95" s="19"/>
      <c r="C95" s="19"/>
      <c r="D95" s="19"/>
      <c r="E95" s="19"/>
      <c r="F95" s="21"/>
      <c r="G95" s="21"/>
      <c r="H95" s="21"/>
      <c r="I95" s="21"/>
      <c r="J95" s="21"/>
      <c r="K95" s="21"/>
      <c r="L95" s="21"/>
      <c r="M95" s="21"/>
      <c r="N95" s="21"/>
      <c r="O95" s="21"/>
      <c r="P95" s="21"/>
      <c r="Q95" s="21"/>
    </row>
    <row r="96">
      <c r="A96" s="19"/>
      <c r="B96" s="19"/>
      <c r="C96" s="19"/>
      <c r="D96" s="19"/>
      <c r="E96" s="19"/>
      <c r="F96" s="21"/>
      <c r="G96" s="21"/>
      <c r="H96" s="21"/>
      <c r="I96" s="21"/>
      <c r="J96" s="21"/>
      <c r="K96" s="21"/>
      <c r="L96" s="21"/>
      <c r="M96" s="21"/>
      <c r="N96" s="21"/>
      <c r="O96" s="21"/>
      <c r="P96" s="21"/>
      <c r="Q96" s="21"/>
    </row>
    <row r="97">
      <c r="A97" s="19"/>
      <c r="B97" s="19"/>
      <c r="C97" s="19"/>
      <c r="D97" s="19"/>
      <c r="E97" s="19"/>
      <c r="F97" s="21"/>
      <c r="G97" s="21"/>
      <c r="H97" s="21"/>
      <c r="I97" s="21"/>
      <c r="J97" s="21"/>
      <c r="K97" s="21"/>
      <c r="L97" s="21"/>
      <c r="M97" s="21"/>
      <c r="N97" s="21"/>
      <c r="O97" s="21"/>
      <c r="P97" s="21"/>
      <c r="Q97" s="21"/>
    </row>
    <row r="98">
      <c r="A98" s="19"/>
      <c r="B98" s="19"/>
      <c r="C98" s="19"/>
      <c r="D98" s="19"/>
      <c r="E98" s="19"/>
      <c r="F98" s="21"/>
      <c r="G98" s="21"/>
      <c r="H98" s="21"/>
      <c r="I98" s="21"/>
      <c r="J98" s="21"/>
      <c r="K98" s="21"/>
      <c r="L98" s="21"/>
      <c r="M98" s="21"/>
      <c r="N98" s="21"/>
      <c r="O98" s="21"/>
      <c r="P98" s="21"/>
      <c r="Q98" s="21"/>
    </row>
    <row r="99">
      <c r="A99" s="19"/>
      <c r="B99" s="19"/>
      <c r="C99" s="19"/>
      <c r="D99" s="19"/>
      <c r="E99" s="19"/>
      <c r="F99" s="21"/>
      <c r="G99" s="21"/>
      <c r="H99" s="21"/>
      <c r="I99" s="21"/>
      <c r="J99" s="21"/>
      <c r="K99" s="21"/>
      <c r="L99" s="21"/>
      <c r="M99" s="21"/>
      <c r="N99" s="21"/>
      <c r="O99" s="21"/>
      <c r="P99" s="21"/>
      <c r="Q99" s="21"/>
    </row>
    <row r="100">
      <c r="A100" s="19"/>
      <c r="B100" s="19"/>
      <c r="C100" s="19"/>
      <c r="D100" s="19"/>
      <c r="E100" s="19"/>
      <c r="F100" s="21"/>
      <c r="G100" s="21"/>
      <c r="H100" s="21"/>
      <c r="I100" s="21"/>
      <c r="J100" s="21"/>
      <c r="K100" s="21"/>
      <c r="L100" s="21"/>
      <c r="M100" s="21"/>
      <c r="N100" s="21"/>
      <c r="O100" s="21"/>
      <c r="P100" s="21"/>
      <c r="Q100" s="21"/>
    </row>
    <row r="101">
      <c r="A101" s="19"/>
      <c r="B101" s="19"/>
      <c r="C101" s="19"/>
      <c r="D101" s="19"/>
      <c r="E101" s="19"/>
      <c r="F101" s="21"/>
      <c r="G101" s="21"/>
      <c r="H101" s="21"/>
      <c r="I101" s="21"/>
      <c r="J101" s="21"/>
      <c r="K101" s="21"/>
      <c r="L101" s="21"/>
      <c r="M101" s="21"/>
      <c r="N101" s="21"/>
      <c r="O101" s="21"/>
      <c r="P101" s="21"/>
      <c r="Q101" s="21"/>
    </row>
    <row r="102">
      <c r="A102" s="19"/>
      <c r="B102" s="19"/>
      <c r="C102" s="19"/>
      <c r="D102" s="19"/>
      <c r="E102" s="19"/>
      <c r="F102" s="21"/>
      <c r="G102" s="21"/>
      <c r="H102" s="21"/>
      <c r="I102" s="21"/>
      <c r="J102" s="21"/>
      <c r="K102" s="21"/>
      <c r="L102" s="21"/>
      <c r="M102" s="21"/>
      <c r="N102" s="21"/>
      <c r="O102" s="21"/>
      <c r="P102" s="21"/>
      <c r="Q102" s="21"/>
    </row>
    <row r="103">
      <c r="A103" s="19"/>
      <c r="B103" s="19"/>
      <c r="C103" s="19"/>
      <c r="D103" s="19"/>
      <c r="E103" s="19"/>
      <c r="F103" s="21"/>
      <c r="G103" s="21"/>
      <c r="H103" s="21"/>
      <c r="I103" s="21"/>
      <c r="J103" s="21"/>
      <c r="K103" s="21"/>
      <c r="L103" s="21"/>
      <c r="M103" s="21"/>
      <c r="N103" s="21"/>
      <c r="O103" s="21"/>
      <c r="P103" s="21"/>
      <c r="Q103" s="21"/>
    </row>
    <row r="104">
      <c r="A104" s="19"/>
      <c r="B104" s="19"/>
      <c r="C104" s="19"/>
      <c r="D104" s="19"/>
      <c r="E104" s="19"/>
      <c r="F104" s="21"/>
      <c r="G104" s="21"/>
      <c r="H104" s="21"/>
      <c r="I104" s="21"/>
      <c r="J104" s="21"/>
      <c r="K104" s="21"/>
      <c r="L104" s="21"/>
      <c r="M104" s="21"/>
      <c r="N104" s="21"/>
      <c r="O104" s="21"/>
      <c r="P104" s="21"/>
      <c r="Q104" s="21"/>
    </row>
    <row r="105">
      <c r="A105" s="19"/>
      <c r="B105" s="19"/>
      <c r="C105" s="19"/>
      <c r="D105" s="19"/>
      <c r="E105" s="19"/>
      <c r="F105" s="21"/>
      <c r="G105" s="21"/>
      <c r="H105" s="21"/>
      <c r="I105" s="21"/>
      <c r="J105" s="21"/>
      <c r="K105" s="21"/>
      <c r="L105" s="21"/>
      <c r="M105" s="21"/>
      <c r="N105" s="21"/>
      <c r="O105" s="21"/>
      <c r="P105" s="21"/>
      <c r="Q105" s="21"/>
    </row>
    <row r="106">
      <c r="A106" s="19"/>
      <c r="B106" s="19"/>
      <c r="C106" s="19"/>
      <c r="D106" s="19"/>
      <c r="E106" s="19"/>
      <c r="F106" s="21"/>
      <c r="G106" s="21"/>
      <c r="H106" s="21"/>
      <c r="I106" s="21"/>
      <c r="J106" s="21"/>
      <c r="K106" s="21"/>
      <c r="L106" s="21"/>
      <c r="M106" s="21"/>
      <c r="N106" s="21"/>
      <c r="O106" s="21"/>
      <c r="P106" s="21"/>
      <c r="Q106" s="21"/>
    </row>
    <row r="107">
      <c r="A107" s="19"/>
      <c r="B107" s="19"/>
      <c r="C107" s="19"/>
      <c r="D107" s="19"/>
      <c r="E107" s="19"/>
      <c r="F107" s="21"/>
      <c r="G107" s="21"/>
      <c r="H107" s="21"/>
      <c r="I107" s="21"/>
      <c r="J107" s="21"/>
      <c r="K107" s="21"/>
      <c r="L107" s="21"/>
      <c r="M107" s="21"/>
      <c r="N107" s="21"/>
      <c r="O107" s="21"/>
      <c r="P107" s="21"/>
      <c r="Q107" s="21"/>
    </row>
    <row r="108">
      <c r="A108" s="19"/>
      <c r="B108" s="19"/>
      <c r="C108" s="19"/>
      <c r="D108" s="19"/>
      <c r="E108" s="19"/>
      <c r="F108" s="21"/>
      <c r="G108" s="21"/>
      <c r="H108" s="21"/>
      <c r="I108" s="21"/>
      <c r="J108" s="21"/>
      <c r="K108" s="21"/>
      <c r="L108" s="21"/>
      <c r="M108" s="21"/>
      <c r="N108" s="21"/>
      <c r="O108" s="21"/>
      <c r="P108" s="21"/>
      <c r="Q108" s="21"/>
    </row>
    <row r="109">
      <c r="A109" s="19"/>
      <c r="B109" s="19"/>
      <c r="C109" s="19"/>
      <c r="D109" s="19"/>
      <c r="E109" s="19"/>
      <c r="F109" s="21"/>
      <c r="G109" s="21"/>
      <c r="H109" s="21"/>
      <c r="I109" s="21"/>
      <c r="J109" s="21"/>
      <c r="K109" s="21"/>
      <c r="L109" s="21"/>
      <c r="M109" s="21"/>
      <c r="N109" s="21"/>
      <c r="O109" s="21"/>
      <c r="P109" s="21"/>
      <c r="Q109" s="21"/>
    </row>
    <row r="110">
      <c r="A110" s="19"/>
      <c r="B110" s="19"/>
      <c r="C110" s="19"/>
      <c r="D110" s="19"/>
      <c r="E110" s="19"/>
      <c r="F110" s="21"/>
      <c r="G110" s="21"/>
      <c r="H110" s="21"/>
      <c r="I110" s="21"/>
      <c r="J110" s="21"/>
      <c r="K110" s="21"/>
      <c r="L110" s="21"/>
      <c r="M110" s="21"/>
      <c r="N110" s="21"/>
      <c r="O110" s="21"/>
      <c r="P110" s="21"/>
      <c r="Q110" s="21"/>
    </row>
    <row r="111">
      <c r="A111" s="19"/>
      <c r="B111" s="19"/>
      <c r="C111" s="19"/>
      <c r="D111" s="19"/>
      <c r="E111" s="19"/>
      <c r="F111" s="21"/>
      <c r="G111" s="21"/>
      <c r="H111" s="21"/>
      <c r="I111" s="21"/>
      <c r="J111" s="21"/>
      <c r="K111" s="21"/>
      <c r="L111" s="21"/>
      <c r="M111" s="21"/>
      <c r="N111" s="21"/>
      <c r="O111" s="21"/>
      <c r="P111" s="21"/>
      <c r="Q111" s="21"/>
    </row>
  </sheetData>
  <customSheetViews>
    <customSheetView guid="{9D72475F-38A7-448B-A0F5-DA91D8365EF7}" filter="1" showAutoFilter="1">
      <autoFilter ref="$A$1:$P$11"/>
    </customSheetView>
    <customSheetView guid="{C820ED32-4450-4793-B686-740B21583CCD}" filter="1" showAutoFilter="1">
      <autoFilter ref="$B$1:$P$11">
        <sortState ref="B1:P11">
          <sortCondition descending="1" ref="K1:K11"/>
          <sortCondition descending="1" ref="M1:M11"/>
        </sortState>
      </autoFilter>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2.13"/>
    <col customWidth="1" min="8" max="8" width="22.63"/>
  </cols>
  <sheetData>
    <row r="1">
      <c r="A1" s="22" t="s">
        <v>1</v>
      </c>
      <c r="B1" s="23" t="s">
        <v>46</v>
      </c>
      <c r="C1" s="24" t="s">
        <v>6</v>
      </c>
      <c r="D1" s="24" t="s">
        <v>7</v>
      </c>
      <c r="E1" s="24" t="s">
        <v>8</v>
      </c>
      <c r="F1" s="24" t="s">
        <v>10</v>
      </c>
      <c r="G1" s="24" t="s">
        <v>12</v>
      </c>
      <c r="H1" s="25" t="s">
        <v>47</v>
      </c>
    </row>
    <row r="2" hidden="1">
      <c r="A2" s="26"/>
      <c r="B2" s="27">
        <v>0.0</v>
      </c>
      <c r="C2" s="28">
        <v>0.0</v>
      </c>
      <c r="D2" s="28">
        <v>0.0</v>
      </c>
      <c r="E2" s="28">
        <v>0.0</v>
      </c>
      <c r="F2" s="28">
        <v>0.0</v>
      </c>
      <c r="G2" s="28">
        <v>0.0</v>
      </c>
      <c r="H2" s="27">
        <v>0.0</v>
      </c>
    </row>
    <row r="3">
      <c r="A3" s="26" t="s">
        <v>31</v>
      </c>
      <c r="B3" s="27">
        <v>230000.0</v>
      </c>
      <c r="C3" s="28">
        <v>64000.0</v>
      </c>
      <c r="D3" s="28">
        <v>109995.0</v>
      </c>
      <c r="E3" s="28">
        <v>73995.0</v>
      </c>
      <c r="F3" s="28">
        <v>247990.0</v>
      </c>
      <c r="G3" s="28">
        <v>16532.666666666668</v>
      </c>
      <c r="H3" s="27">
        <f t="shared" ref="H3:H13" si="1">STDEV(B3,F3)</f>
        <v>12720.85099</v>
      </c>
    </row>
    <row r="4">
      <c r="A4" s="26" t="s">
        <v>22</v>
      </c>
      <c r="B4" s="27">
        <v>200000.0</v>
      </c>
      <c r="C4" s="28">
        <v>105000.0</v>
      </c>
      <c r="D4" s="28">
        <v>95000.0</v>
      </c>
      <c r="E4" s="28">
        <v>68000.0</v>
      </c>
      <c r="F4" s="28">
        <v>268000.0</v>
      </c>
      <c r="G4" s="28">
        <v>26800.0</v>
      </c>
      <c r="H4" s="27">
        <f t="shared" si="1"/>
        <v>48083.26112</v>
      </c>
    </row>
    <row r="5">
      <c r="A5" s="26" t="s">
        <v>34</v>
      </c>
      <c r="B5" s="27">
        <v>115000.0</v>
      </c>
      <c r="C5" s="28">
        <v>66000.0</v>
      </c>
      <c r="D5" s="28">
        <v>77000.0</v>
      </c>
      <c r="E5" s="28">
        <v>33999.0</v>
      </c>
      <c r="F5" s="28">
        <v>176999.0</v>
      </c>
      <c r="G5" s="28">
        <v>25285.571428571428</v>
      </c>
      <c r="H5" s="27">
        <f t="shared" si="1"/>
        <v>43839.91333</v>
      </c>
    </row>
    <row r="6">
      <c r="A6" s="26" t="s">
        <v>19</v>
      </c>
      <c r="B6" s="27">
        <v>150000.0</v>
      </c>
      <c r="C6" s="28">
        <v>38500.0</v>
      </c>
      <c r="D6" s="28">
        <v>86996.0</v>
      </c>
      <c r="E6" s="28">
        <v>44993.0</v>
      </c>
      <c r="F6" s="28">
        <v>170489.0</v>
      </c>
      <c r="G6" s="28">
        <v>13114.538461538461</v>
      </c>
      <c r="H6" s="27">
        <f t="shared" si="1"/>
        <v>14487.91084</v>
      </c>
    </row>
    <row r="7">
      <c r="A7" s="26" t="s">
        <v>37</v>
      </c>
      <c r="B7" s="27">
        <v>240000.0</v>
      </c>
      <c r="C7" s="28">
        <v>103000.0</v>
      </c>
      <c r="D7" s="28">
        <v>117000.0</v>
      </c>
      <c r="E7" s="28">
        <v>55000.0</v>
      </c>
      <c r="F7" s="28">
        <v>275000.0</v>
      </c>
      <c r="G7" s="28">
        <v>27500.0</v>
      </c>
      <c r="H7" s="27">
        <f t="shared" si="1"/>
        <v>24748.73734</v>
      </c>
    </row>
    <row r="8">
      <c r="A8" s="26" t="s">
        <v>17</v>
      </c>
      <c r="B8" s="27">
        <v>120000.0</v>
      </c>
      <c r="C8" s="28">
        <v>8300.0</v>
      </c>
      <c r="D8" s="28">
        <v>91000.0</v>
      </c>
      <c r="E8" s="28">
        <v>30693.0</v>
      </c>
      <c r="F8" s="28">
        <v>129993.0</v>
      </c>
      <c r="G8" s="28">
        <v>9999.461538461539</v>
      </c>
      <c r="H8" s="27">
        <f t="shared" si="1"/>
        <v>7066.118064</v>
      </c>
    </row>
    <row r="9">
      <c r="A9" s="26" t="s">
        <v>43</v>
      </c>
      <c r="B9" s="27">
        <v>85000.0</v>
      </c>
      <c r="C9" s="28">
        <v>47000.0</v>
      </c>
      <c r="D9" s="28">
        <v>26999.0</v>
      </c>
      <c r="E9" s="28">
        <v>22995.0</v>
      </c>
      <c r="F9" s="28">
        <v>96994.0</v>
      </c>
      <c r="G9" s="28">
        <v>13856.285714285714</v>
      </c>
      <c r="H9" s="27">
        <f t="shared" si="1"/>
        <v>8481.038734</v>
      </c>
    </row>
    <row r="10">
      <c r="A10" s="26" t="s">
        <v>28</v>
      </c>
      <c r="B10" s="27">
        <v>160000.0</v>
      </c>
      <c r="C10" s="28">
        <v>67000.0</v>
      </c>
      <c r="D10" s="28">
        <v>69006.0</v>
      </c>
      <c r="E10" s="28">
        <v>42994.0</v>
      </c>
      <c r="F10" s="28">
        <v>179000.0</v>
      </c>
      <c r="G10" s="28">
        <v>12785.714285714286</v>
      </c>
      <c r="H10" s="27">
        <f t="shared" si="1"/>
        <v>13435.02884</v>
      </c>
    </row>
    <row r="11">
      <c r="A11" s="26" t="s">
        <v>25</v>
      </c>
      <c r="B11" s="27">
        <v>180000.0</v>
      </c>
      <c r="C11" s="28">
        <v>68000.0</v>
      </c>
      <c r="D11" s="28">
        <v>66000.0</v>
      </c>
      <c r="E11" s="28">
        <v>48000.0</v>
      </c>
      <c r="F11" s="28">
        <v>182000.0</v>
      </c>
      <c r="G11" s="28">
        <v>12133.333333333334</v>
      </c>
      <c r="H11" s="27">
        <f t="shared" si="1"/>
        <v>1414.213562</v>
      </c>
    </row>
    <row r="12">
      <c r="A12" s="26" t="s">
        <v>40</v>
      </c>
      <c r="B12" s="27">
        <v>260000.0</v>
      </c>
      <c r="C12" s="28">
        <v>74000.0</v>
      </c>
      <c r="D12" s="28">
        <v>108000.0</v>
      </c>
      <c r="E12" s="28">
        <v>87000.0</v>
      </c>
      <c r="F12" s="28">
        <v>269000.0</v>
      </c>
      <c r="G12" s="28">
        <v>22416.666666666668</v>
      </c>
      <c r="H12" s="27">
        <f t="shared" si="1"/>
        <v>6363.961031</v>
      </c>
    </row>
    <row r="13">
      <c r="A13" s="29" t="s">
        <v>10</v>
      </c>
      <c r="B13" s="30">
        <v>1740000.0</v>
      </c>
      <c r="C13" s="31">
        <v>640800.0</v>
      </c>
      <c r="D13" s="31">
        <v>846996.0</v>
      </c>
      <c r="E13" s="31">
        <v>507669.0</v>
      </c>
      <c r="F13" s="31">
        <v>1995465.0</v>
      </c>
      <c r="G13" s="31">
        <v>180424.23809523808</v>
      </c>
      <c r="H13" s="27">
        <f t="shared" si="1"/>
        <v>180641.0339</v>
      </c>
    </row>
    <row r="14">
      <c r="A14" s="32"/>
      <c r="B14" s="33"/>
    </row>
    <row r="15">
      <c r="A15" s="32"/>
      <c r="B15" s="33"/>
    </row>
    <row r="16">
      <c r="A16" s="34" t="s">
        <v>48</v>
      </c>
      <c r="B16" s="35">
        <f>COUNTA(B3:B12)</f>
        <v>10</v>
      </c>
    </row>
    <row r="17">
      <c r="A17" s="34" t="s">
        <v>49</v>
      </c>
      <c r="B17" s="35">
        <f>AVERAGE(B3:B12)</f>
        <v>174000</v>
      </c>
    </row>
    <row r="18">
      <c r="A18" s="34" t="s">
        <v>50</v>
      </c>
      <c r="B18" s="35">
        <f>STDEV(B3:B12)</f>
        <v>58395.20528</v>
      </c>
    </row>
    <row r="19">
      <c r="A19" s="34" t="s">
        <v>51</v>
      </c>
      <c r="B19" s="35">
        <f>MEDIAN(B3:B12)</f>
        <v>170000</v>
      </c>
    </row>
    <row r="20">
      <c r="A20" s="34" t="s">
        <v>52</v>
      </c>
      <c r="B20" s="35">
        <f>VAR(B3:B12)</f>
        <v>3410000000</v>
      </c>
    </row>
    <row r="21">
      <c r="B21" s="36"/>
    </row>
    <row r="22">
      <c r="B22" s="36"/>
    </row>
    <row r="23">
      <c r="B23" s="36"/>
    </row>
    <row r="24">
      <c r="B24" s="36"/>
    </row>
    <row r="25">
      <c r="B25" s="36"/>
    </row>
    <row r="26">
      <c r="B26" s="36"/>
    </row>
    <row r="27">
      <c r="B27" s="36"/>
    </row>
    <row r="28">
      <c r="B28" s="36"/>
    </row>
    <row r="29">
      <c r="B29" s="36"/>
    </row>
    <row r="30">
      <c r="B30" s="36"/>
    </row>
    <row r="31">
      <c r="B31" s="36"/>
    </row>
    <row r="32">
      <c r="B32" s="36"/>
    </row>
    <row r="33">
      <c r="B33" s="36"/>
    </row>
    <row r="34">
      <c r="B34" s="36"/>
    </row>
    <row r="35">
      <c r="B35" s="36"/>
    </row>
    <row r="36">
      <c r="B36" s="36"/>
    </row>
    <row r="37">
      <c r="B37" s="36"/>
    </row>
    <row r="38">
      <c r="B38" s="36"/>
    </row>
    <row r="39">
      <c r="B39" s="36"/>
    </row>
    <row r="40">
      <c r="B40" s="36"/>
    </row>
    <row r="41">
      <c r="B41" s="36"/>
    </row>
    <row r="42">
      <c r="B42" s="36"/>
    </row>
    <row r="43">
      <c r="B43" s="36"/>
    </row>
    <row r="44">
      <c r="B44" s="36"/>
    </row>
    <row r="45">
      <c r="B45" s="36"/>
    </row>
    <row r="46">
      <c r="B46" s="36"/>
    </row>
    <row r="47">
      <c r="B47" s="36"/>
    </row>
    <row r="48">
      <c r="B48" s="36"/>
    </row>
    <row r="49">
      <c r="B49" s="36"/>
    </row>
    <row r="50">
      <c r="B50" s="36"/>
    </row>
    <row r="51">
      <c r="B51" s="36"/>
    </row>
    <row r="52">
      <c r="B52" s="36"/>
    </row>
    <row r="53">
      <c r="B53" s="36"/>
    </row>
    <row r="54">
      <c r="B54" s="36"/>
    </row>
    <row r="55">
      <c r="B55" s="36"/>
    </row>
    <row r="56">
      <c r="B56" s="36"/>
    </row>
    <row r="57">
      <c r="B57" s="36"/>
    </row>
    <row r="58">
      <c r="B58" s="36"/>
    </row>
    <row r="59">
      <c r="B59" s="36"/>
    </row>
    <row r="60">
      <c r="B60" s="36"/>
    </row>
    <row r="61">
      <c r="B61" s="36"/>
    </row>
    <row r="62">
      <c r="B62" s="36"/>
    </row>
    <row r="63">
      <c r="B63" s="36"/>
    </row>
    <row r="64">
      <c r="B64" s="36"/>
    </row>
    <row r="65">
      <c r="B65" s="36"/>
    </row>
    <row r="66">
      <c r="B66" s="36"/>
    </row>
    <row r="67">
      <c r="B67" s="36"/>
    </row>
    <row r="68">
      <c r="B68" s="36"/>
    </row>
    <row r="69">
      <c r="B69" s="36"/>
    </row>
    <row r="70">
      <c r="B70" s="36"/>
    </row>
    <row r="71">
      <c r="B71" s="36"/>
    </row>
    <row r="72">
      <c r="B72" s="36"/>
    </row>
    <row r="73">
      <c r="B73" s="36"/>
    </row>
    <row r="74">
      <c r="B74" s="36"/>
    </row>
    <row r="75">
      <c r="B75" s="36"/>
    </row>
    <row r="76">
      <c r="B76" s="36"/>
    </row>
    <row r="77">
      <c r="B77" s="36"/>
    </row>
    <row r="78">
      <c r="B78" s="36"/>
    </row>
    <row r="79">
      <c r="B79" s="36"/>
    </row>
    <row r="80">
      <c r="B80" s="36"/>
    </row>
    <row r="81">
      <c r="B81" s="36"/>
    </row>
    <row r="82">
      <c r="B82" s="36"/>
    </row>
    <row r="83">
      <c r="B83" s="36"/>
    </row>
    <row r="84">
      <c r="B84" s="36"/>
    </row>
    <row r="85">
      <c r="B85" s="36"/>
    </row>
    <row r="86">
      <c r="B86" s="36"/>
    </row>
    <row r="87">
      <c r="B87" s="36"/>
    </row>
    <row r="88">
      <c r="B88" s="36"/>
    </row>
    <row r="89">
      <c r="B89" s="36"/>
    </row>
    <row r="90">
      <c r="B90" s="36"/>
    </row>
    <row r="91">
      <c r="B91" s="36"/>
    </row>
    <row r="92">
      <c r="B92" s="36"/>
    </row>
    <row r="93">
      <c r="B93" s="36"/>
    </row>
    <row r="94">
      <c r="B94" s="36"/>
    </row>
    <row r="95">
      <c r="B95" s="36"/>
    </row>
    <row r="96">
      <c r="B96" s="36"/>
    </row>
    <row r="97">
      <c r="B97" s="36"/>
    </row>
    <row r="98">
      <c r="B98" s="36"/>
    </row>
    <row r="99">
      <c r="B99" s="36"/>
    </row>
    <row r="100">
      <c r="B100" s="36"/>
    </row>
    <row r="101">
      <c r="B101" s="36"/>
    </row>
    <row r="102">
      <c r="B102" s="36"/>
    </row>
    <row r="103">
      <c r="B103" s="36"/>
    </row>
    <row r="104">
      <c r="B104" s="36"/>
    </row>
    <row r="105">
      <c r="B105" s="36"/>
    </row>
    <row r="106">
      <c r="B106" s="36"/>
    </row>
    <row r="107">
      <c r="B107" s="36"/>
    </row>
    <row r="108">
      <c r="B108" s="36"/>
    </row>
    <row r="109">
      <c r="B109" s="36"/>
    </row>
    <row r="110">
      <c r="B110" s="36"/>
    </row>
    <row r="111">
      <c r="B111" s="36"/>
    </row>
    <row r="112">
      <c r="B112" s="36"/>
    </row>
    <row r="113">
      <c r="B113" s="36"/>
    </row>
    <row r="114">
      <c r="B114" s="36"/>
    </row>
    <row r="115">
      <c r="B115" s="36"/>
    </row>
    <row r="116">
      <c r="B116" s="36"/>
    </row>
    <row r="117">
      <c r="B117" s="36"/>
    </row>
    <row r="118">
      <c r="B118" s="36"/>
    </row>
    <row r="119">
      <c r="B119" s="36"/>
    </row>
    <row r="120">
      <c r="B120" s="36"/>
    </row>
    <row r="121">
      <c r="B121" s="36"/>
    </row>
    <row r="122">
      <c r="B122" s="36"/>
    </row>
    <row r="123">
      <c r="B123" s="36"/>
    </row>
    <row r="124">
      <c r="B124" s="36"/>
    </row>
    <row r="125">
      <c r="B125" s="36"/>
    </row>
    <row r="126">
      <c r="B126" s="36"/>
    </row>
    <row r="127">
      <c r="B127" s="36"/>
    </row>
    <row r="128">
      <c r="B128" s="36"/>
    </row>
    <row r="129">
      <c r="B129" s="36"/>
    </row>
    <row r="130">
      <c r="B130" s="36"/>
    </row>
    <row r="131">
      <c r="B131" s="36"/>
    </row>
    <row r="132">
      <c r="B132" s="36"/>
    </row>
    <row r="133">
      <c r="B133" s="36"/>
    </row>
    <row r="134">
      <c r="B134" s="36"/>
    </row>
    <row r="135">
      <c r="B135" s="36"/>
    </row>
    <row r="136">
      <c r="B136" s="36"/>
    </row>
    <row r="137">
      <c r="B137" s="36"/>
    </row>
    <row r="138">
      <c r="B138" s="36"/>
    </row>
    <row r="139">
      <c r="B139" s="36"/>
    </row>
    <row r="140">
      <c r="B140" s="36"/>
    </row>
    <row r="141">
      <c r="B141" s="36"/>
    </row>
    <row r="142">
      <c r="B142" s="36"/>
    </row>
    <row r="143">
      <c r="B143" s="36"/>
    </row>
    <row r="144">
      <c r="B144" s="36"/>
    </row>
    <row r="145">
      <c r="B145" s="36"/>
    </row>
    <row r="146">
      <c r="B146" s="36"/>
    </row>
    <row r="147">
      <c r="B147" s="36"/>
    </row>
    <row r="148">
      <c r="B148" s="36"/>
    </row>
    <row r="149">
      <c r="B149" s="36"/>
    </row>
    <row r="150">
      <c r="B150" s="36"/>
    </row>
    <row r="151">
      <c r="B151" s="36"/>
    </row>
    <row r="152">
      <c r="B152" s="36"/>
    </row>
    <row r="153">
      <c r="B153" s="36"/>
    </row>
    <row r="154">
      <c r="B154" s="36"/>
    </row>
    <row r="155">
      <c r="B155" s="36"/>
    </row>
    <row r="156">
      <c r="B156" s="36"/>
    </row>
    <row r="157">
      <c r="B157" s="36"/>
    </row>
    <row r="158">
      <c r="B158" s="36"/>
    </row>
    <row r="159">
      <c r="B159" s="36"/>
    </row>
    <row r="160">
      <c r="B160" s="36"/>
    </row>
    <row r="161">
      <c r="B161" s="36"/>
    </row>
    <row r="162">
      <c r="B162" s="36"/>
    </row>
    <row r="163">
      <c r="B163" s="36"/>
    </row>
    <row r="164">
      <c r="B164" s="36"/>
    </row>
    <row r="165">
      <c r="B165" s="36"/>
    </row>
    <row r="166">
      <c r="B166" s="36"/>
    </row>
    <row r="167">
      <c r="B167" s="36"/>
    </row>
    <row r="168">
      <c r="B168" s="36"/>
    </row>
    <row r="169">
      <c r="B169" s="36"/>
    </row>
    <row r="170">
      <c r="B170" s="36"/>
    </row>
    <row r="171">
      <c r="B171" s="36"/>
    </row>
    <row r="172">
      <c r="B172" s="36"/>
    </row>
    <row r="173">
      <c r="B173" s="36"/>
    </row>
    <row r="174">
      <c r="B174" s="36"/>
    </row>
    <row r="175">
      <c r="B175" s="36"/>
    </row>
    <row r="176">
      <c r="B176" s="36"/>
    </row>
    <row r="177">
      <c r="B177" s="36"/>
    </row>
    <row r="178">
      <c r="B178" s="36"/>
    </row>
    <row r="179">
      <c r="B179" s="36"/>
    </row>
    <row r="180">
      <c r="B180" s="36"/>
    </row>
    <row r="181">
      <c r="B181" s="36"/>
    </row>
    <row r="182">
      <c r="B182" s="36"/>
    </row>
    <row r="183">
      <c r="B183" s="36"/>
    </row>
    <row r="184">
      <c r="B184" s="36"/>
    </row>
    <row r="185">
      <c r="B185" s="36"/>
    </row>
    <row r="186">
      <c r="B186" s="36"/>
    </row>
    <row r="187">
      <c r="B187" s="36"/>
    </row>
    <row r="188">
      <c r="B188" s="36"/>
    </row>
    <row r="189">
      <c r="B189" s="36"/>
    </row>
    <row r="190">
      <c r="B190" s="36"/>
    </row>
    <row r="191">
      <c r="B191" s="36"/>
    </row>
    <row r="192">
      <c r="B192" s="36"/>
    </row>
    <row r="193">
      <c r="B193" s="36"/>
    </row>
    <row r="194">
      <c r="B194" s="36"/>
    </row>
    <row r="195">
      <c r="B195" s="36"/>
    </row>
    <row r="196">
      <c r="B196" s="36"/>
    </row>
    <row r="197">
      <c r="B197" s="36"/>
    </row>
    <row r="198">
      <c r="B198" s="36"/>
    </row>
    <row r="199">
      <c r="B199" s="36"/>
    </row>
    <row r="200">
      <c r="B200" s="36"/>
    </row>
    <row r="201">
      <c r="B201" s="36"/>
    </row>
    <row r="202">
      <c r="B202" s="36"/>
    </row>
    <row r="203">
      <c r="B203" s="36"/>
    </row>
    <row r="204">
      <c r="B204" s="36"/>
    </row>
    <row r="205">
      <c r="B205" s="36"/>
    </row>
    <row r="206">
      <c r="B206" s="36"/>
    </row>
    <row r="207">
      <c r="B207" s="36"/>
    </row>
    <row r="208">
      <c r="B208" s="36"/>
    </row>
    <row r="209">
      <c r="B209" s="36"/>
    </row>
    <row r="210">
      <c r="B210" s="36"/>
    </row>
    <row r="211">
      <c r="B211" s="36"/>
    </row>
    <row r="212">
      <c r="B212" s="36"/>
    </row>
    <row r="213">
      <c r="B213" s="36"/>
    </row>
    <row r="214">
      <c r="B214" s="36"/>
    </row>
    <row r="215">
      <c r="B215" s="36"/>
    </row>
    <row r="216">
      <c r="B216" s="36"/>
    </row>
    <row r="217">
      <c r="B217" s="36"/>
    </row>
    <row r="218">
      <c r="B218" s="36"/>
    </row>
    <row r="219">
      <c r="B219" s="36"/>
    </row>
    <row r="220">
      <c r="B220" s="36"/>
    </row>
    <row r="221">
      <c r="B221" s="36"/>
    </row>
    <row r="222">
      <c r="B222" s="36"/>
    </row>
    <row r="223">
      <c r="B223" s="36"/>
    </row>
    <row r="224">
      <c r="B224" s="36"/>
    </row>
    <row r="225">
      <c r="B225" s="36"/>
    </row>
    <row r="226">
      <c r="B226" s="36"/>
    </row>
    <row r="227">
      <c r="B227" s="36"/>
    </row>
    <row r="228">
      <c r="B228" s="36"/>
    </row>
    <row r="229">
      <c r="B229" s="36"/>
    </row>
    <row r="230">
      <c r="B230" s="36"/>
    </row>
    <row r="231">
      <c r="B231" s="36"/>
    </row>
    <row r="232">
      <c r="B232" s="36"/>
    </row>
    <row r="233">
      <c r="B233" s="36"/>
    </row>
    <row r="234">
      <c r="B234" s="36"/>
    </row>
    <row r="235">
      <c r="B235" s="36"/>
    </row>
    <row r="236">
      <c r="B236" s="36"/>
    </row>
    <row r="237">
      <c r="B237" s="36"/>
    </row>
    <row r="238">
      <c r="B238" s="36"/>
    </row>
    <row r="239">
      <c r="B239" s="36"/>
    </row>
    <row r="240">
      <c r="B240" s="36"/>
    </row>
    <row r="241">
      <c r="B241" s="36"/>
    </row>
    <row r="242">
      <c r="B242" s="36"/>
    </row>
    <row r="243">
      <c r="B243" s="36"/>
    </row>
    <row r="244">
      <c r="B244" s="36"/>
    </row>
    <row r="245">
      <c r="B245" s="36"/>
    </row>
    <row r="246">
      <c r="B246" s="36"/>
    </row>
    <row r="247">
      <c r="B247" s="36"/>
    </row>
    <row r="248">
      <c r="B248" s="36"/>
    </row>
    <row r="249">
      <c r="B249" s="36"/>
    </row>
    <row r="250">
      <c r="B250" s="36"/>
    </row>
    <row r="251">
      <c r="B251" s="36"/>
    </row>
    <row r="252">
      <c r="B252" s="36"/>
    </row>
    <row r="253">
      <c r="B253" s="36"/>
    </row>
    <row r="254">
      <c r="B254" s="36"/>
    </row>
    <row r="255">
      <c r="B255" s="36"/>
    </row>
    <row r="256">
      <c r="B256" s="36"/>
    </row>
    <row r="257">
      <c r="B257" s="36"/>
    </row>
    <row r="258">
      <c r="B258" s="36"/>
    </row>
    <row r="259">
      <c r="B259" s="36"/>
    </row>
    <row r="260">
      <c r="B260" s="36"/>
    </row>
    <row r="261">
      <c r="B261" s="36"/>
    </row>
    <row r="262">
      <c r="B262" s="36"/>
    </row>
    <row r="263">
      <c r="B263" s="36"/>
    </row>
    <row r="264">
      <c r="B264" s="36"/>
    </row>
    <row r="265">
      <c r="B265" s="36"/>
    </row>
    <row r="266">
      <c r="B266" s="36"/>
    </row>
    <row r="267">
      <c r="B267" s="36"/>
    </row>
    <row r="268">
      <c r="B268" s="36"/>
    </row>
    <row r="269">
      <c r="B269" s="36"/>
    </row>
    <row r="270">
      <c r="B270" s="36"/>
    </row>
    <row r="271">
      <c r="B271" s="36"/>
    </row>
    <row r="272">
      <c r="B272" s="36"/>
    </row>
    <row r="273">
      <c r="B273" s="36"/>
    </row>
    <row r="274">
      <c r="B274" s="36"/>
    </row>
    <row r="275">
      <c r="B275" s="36"/>
    </row>
    <row r="276">
      <c r="B276" s="36"/>
    </row>
    <row r="277">
      <c r="B277" s="36"/>
    </row>
    <row r="278">
      <c r="B278" s="36"/>
    </row>
    <row r="279">
      <c r="B279" s="36"/>
    </row>
    <row r="280">
      <c r="B280" s="36"/>
    </row>
    <row r="281">
      <c r="B281" s="36"/>
    </row>
    <row r="282">
      <c r="B282" s="36"/>
    </row>
    <row r="283">
      <c r="B283" s="36"/>
    </row>
    <row r="284">
      <c r="B284" s="36"/>
    </row>
    <row r="285">
      <c r="B285" s="36"/>
    </row>
    <row r="286">
      <c r="B286" s="36"/>
    </row>
    <row r="287">
      <c r="B287" s="36"/>
    </row>
    <row r="288">
      <c r="B288" s="36"/>
    </row>
    <row r="289">
      <c r="B289" s="36"/>
    </row>
    <row r="290">
      <c r="B290" s="36"/>
    </row>
    <row r="291">
      <c r="B291" s="36"/>
    </row>
    <row r="292">
      <c r="B292" s="36"/>
    </row>
    <row r="293">
      <c r="B293" s="36"/>
    </row>
    <row r="294">
      <c r="B294" s="36"/>
    </row>
    <row r="295">
      <c r="B295" s="36"/>
    </row>
    <row r="296">
      <c r="B296" s="36"/>
    </row>
    <row r="297">
      <c r="B297" s="36"/>
    </row>
    <row r="298">
      <c r="B298" s="36"/>
    </row>
    <row r="299">
      <c r="B299" s="36"/>
    </row>
    <row r="300">
      <c r="B300" s="36"/>
    </row>
    <row r="301">
      <c r="B301" s="36"/>
    </row>
    <row r="302">
      <c r="B302" s="36"/>
    </row>
    <row r="303">
      <c r="B303" s="36"/>
    </row>
    <row r="304">
      <c r="B304" s="36"/>
    </row>
    <row r="305">
      <c r="B305" s="36"/>
    </row>
    <row r="306">
      <c r="B306" s="36"/>
    </row>
    <row r="307">
      <c r="B307" s="36"/>
    </row>
    <row r="308">
      <c r="B308" s="36"/>
    </row>
    <row r="309">
      <c r="B309" s="36"/>
    </row>
    <row r="310">
      <c r="B310" s="36"/>
    </row>
    <row r="311">
      <c r="B311" s="36"/>
    </row>
    <row r="312">
      <c r="B312" s="36"/>
    </row>
    <row r="313">
      <c r="B313" s="36"/>
    </row>
    <row r="314">
      <c r="B314" s="36"/>
    </row>
    <row r="315">
      <c r="B315" s="36"/>
    </row>
    <row r="316">
      <c r="B316" s="36"/>
    </row>
    <row r="317">
      <c r="B317" s="36"/>
    </row>
    <row r="318">
      <c r="B318" s="36"/>
    </row>
    <row r="319">
      <c r="B319" s="36"/>
    </row>
    <row r="320">
      <c r="B320" s="36"/>
    </row>
    <row r="321">
      <c r="B321" s="36"/>
    </row>
    <row r="322">
      <c r="B322" s="36"/>
    </row>
    <row r="323">
      <c r="B323" s="36"/>
    </row>
    <row r="324">
      <c r="B324" s="36"/>
    </row>
    <row r="325">
      <c r="B325" s="36"/>
    </row>
    <row r="326">
      <c r="B326" s="36"/>
    </row>
    <row r="327">
      <c r="B327" s="36"/>
    </row>
    <row r="328">
      <c r="B328" s="36"/>
    </row>
    <row r="329">
      <c r="B329" s="36"/>
    </row>
    <row r="330">
      <c r="B330" s="36"/>
    </row>
    <row r="331">
      <c r="B331" s="36"/>
    </row>
    <row r="332">
      <c r="B332" s="36"/>
    </row>
    <row r="333">
      <c r="B333" s="36"/>
    </row>
    <row r="334">
      <c r="B334" s="36"/>
    </row>
    <row r="335">
      <c r="B335" s="36"/>
    </row>
    <row r="336">
      <c r="B336" s="36"/>
    </row>
    <row r="337">
      <c r="B337" s="36"/>
    </row>
    <row r="338">
      <c r="B338" s="36"/>
    </row>
    <row r="339">
      <c r="B339" s="36"/>
    </row>
    <row r="340">
      <c r="B340" s="36"/>
    </row>
    <row r="341">
      <c r="B341" s="36"/>
    </row>
    <row r="342">
      <c r="B342" s="36"/>
    </row>
    <row r="343">
      <c r="B343" s="36"/>
    </row>
    <row r="344">
      <c r="B344" s="36"/>
    </row>
    <row r="345">
      <c r="B345" s="36"/>
    </row>
    <row r="346">
      <c r="B346" s="36"/>
    </row>
    <row r="347">
      <c r="B347" s="36"/>
    </row>
    <row r="348">
      <c r="B348" s="36"/>
    </row>
    <row r="349">
      <c r="B349" s="36"/>
    </row>
    <row r="350">
      <c r="B350" s="36"/>
    </row>
    <row r="351">
      <c r="B351" s="36"/>
    </row>
    <row r="352">
      <c r="B352" s="36"/>
    </row>
    <row r="353">
      <c r="B353" s="36"/>
    </row>
    <row r="354">
      <c r="B354" s="36"/>
    </row>
    <row r="355">
      <c r="B355" s="36"/>
    </row>
    <row r="356">
      <c r="B356" s="36"/>
    </row>
    <row r="357">
      <c r="B357" s="36"/>
    </row>
    <row r="358">
      <c r="B358" s="36"/>
    </row>
    <row r="359">
      <c r="B359" s="36"/>
    </row>
    <row r="360">
      <c r="B360" s="36"/>
    </row>
    <row r="361">
      <c r="B361" s="36"/>
    </row>
    <row r="362">
      <c r="B362" s="36"/>
    </row>
    <row r="363">
      <c r="B363" s="36"/>
    </row>
    <row r="364">
      <c r="B364" s="36"/>
    </row>
    <row r="365">
      <c r="B365" s="36"/>
    </row>
    <row r="366">
      <c r="B366" s="36"/>
    </row>
    <row r="367">
      <c r="B367" s="36"/>
    </row>
    <row r="368">
      <c r="B368" s="36"/>
    </row>
    <row r="369">
      <c r="B369" s="36"/>
    </row>
    <row r="370">
      <c r="B370" s="36"/>
    </row>
    <row r="371">
      <c r="B371" s="36"/>
    </row>
    <row r="372">
      <c r="B372" s="36"/>
    </row>
    <row r="373">
      <c r="B373" s="36"/>
    </row>
    <row r="374">
      <c r="B374" s="36"/>
    </row>
    <row r="375">
      <c r="B375" s="36"/>
    </row>
    <row r="376">
      <c r="B376" s="36"/>
    </row>
    <row r="377">
      <c r="B377" s="36"/>
    </row>
    <row r="378">
      <c r="B378" s="36"/>
    </row>
    <row r="379">
      <c r="B379" s="36"/>
    </row>
    <row r="380">
      <c r="B380" s="36"/>
    </row>
    <row r="381">
      <c r="B381" s="36"/>
    </row>
    <row r="382">
      <c r="B382" s="36"/>
    </row>
    <row r="383">
      <c r="B383" s="36"/>
    </row>
    <row r="384">
      <c r="B384" s="36"/>
    </row>
    <row r="385">
      <c r="B385" s="36"/>
    </row>
    <row r="386">
      <c r="B386" s="36"/>
    </row>
    <row r="387">
      <c r="B387" s="36"/>
    </row>
    <row r="388">
      <c r="B388" s="36"/>
    </row>
    <row r="389">
      <c r="B389" s="36"/>
    </row>
    <row r="390">
      <c r="B390" s="36"/>
    </row>
    <row r="391">
      <c r="B391" s="36"/>
    </row>
    <row r="392">
      <c r="B392" s="36"/>
    </row>
    <row r="393">
      <c r="B393" s="36"/>
    </row>
    <row r="394">
      <c r="B394" s="36"/>
    </row>
    <row r="395">
      <c r="B395" s="36"/>
    </row>
    <row r="396">
      <c r="B396" s="36"/>
    </row>
    <row r="397">
      <c r="B397" s="36"/>
    </row>
    <row r="398">
      <c r="B398" s="36"/>
    </row>
    <row r="399">
      <c r="B399" s="36"/>
    </row>
    <row r="400">
      <c r="B400" s="36"/>
    </row>
    <row r="401">
      <c r="B401" s="36"/>
    </row>
    <row r="402">
      <c r="B402" s="36"/>
    </row>
    <row r="403">
      <c r="B403" s="36"/>
    </row>
    <row r="404">
      <c r="B404" s="36"/>
    </row>
    <row r="405">
      <c r="B405" s="36"/>
    </row>
    <row r="406">
      <c r="B406" s="36"/>
    </row>
    <row r="407">
      <c r="B407" s="36"/>
    </row>
    <row r="408">
      <c r="B408" s="36"/>
    </row>
    <row r="409">
      <c r="B409" s="36"/>
    </row>
    <row r="410">
      <c r="B410" s="36"/>
    </row>
    <row r="411">
      <c r="B411" s="36"/>
    </row>
    <row r="412">
      <c r="B412" s="36"/>
    </row>
    <row r="413">
      <c r="B413" s="36"/>
    </row>
    <row r="414">
      <c r="B414" s="36"/>
    </row>
    <row r="415">
      <c r="B415" s="36"/>
    </row>
    <row r="416">
      <c r="B416" s="36"/>
    </row>
    <row r="417">
      <c r="B417" s="36"/>
    </row>
    <row r="418">
      <c r="B418" s="36"/>
    </row>
    <row r="419">
      <c r="B419" s="36"/>
    </row>
    <row r="420">
      <c r="B420" s="36"/>
    </row>
    <row r="421">
      <c r="B421" s="36"/>
    </row>
    <row r="422">
      <c r="B422" s="36"/>
    </row>
    <row r="423">
      <c r="B423" s="36"/>
    </row>
    <row r="424">
      <c r="B424" s="36"/>
    </row>
    <row r="425">
      <c r="B425" s="36"/>
    </row>
    <row r="426">
      <c r="B426" s="36"/>
    </row>
    <row r="427">
      <c r="B427" s="36"/>
    </row>
    <row r="428">
      <c r="B428" s="36"/>
    </row>
    <row r="429">
      <c r="B429" s="36"/>
    </row>
    <row r="430">
      <c r="B430" s="36"/>
    </row>
    <row r="431">
      <c r="B431" s="36"/>
    </row>
    <row r="432">
      <c r="B432" s="36"/>
    </row>
    <row r="433">
      <c r="B433" s="36"/>
    </row>
    <row r="434">
      <c r="B434" s="36"/>
    </row>
    <row r="435">
      <c r="B435" s="36"/>
    </row>
    <row r="436">
      <c r="B436" s="36"/>
    </row>
    <row r="437">
      <c r="B437" s="36"/>
    </row>
    <row r="438">
      <c r="B438" s="36"/>
    </row>
    <row r="439">
      <c r="B439" s="36"/>
    </row>
    <row r="440">
      <c r="B440" s="36"/>
    </row>
    <row r="441">
      <c r="B441" s="36"/>
    </row>
    <row r="442">
      <c r="B442" s="36"/>
    </row>
    <row r="443">
      <c r="B443" s="36"/>
    </row>
    <row r="444">
      <c r="B444" s="36"/>
    </row>
    <row r="445">
      <c r="B445" s="36"/>
    </row>
    <row r="446">
      <c r="B446" s="36"/>
    </row>
    <row r="447">
      <c r="B447" s="36"/>
    </row>
    <row r="448">
      <c r="B448" s="36"/>
    </row>
    <row r="449">
      <c r="B449" s="36"/>
    </row>
    <row r="450">
      <c r="B450" s="36"/>
    </row>
    <row r="451">
      <c r="B451" s="36"/>
    </row>
    <row r="452">
      <c r="B452" s="36"/>
    </row>
    <row r="453">
      <c r="B453" s="36"/>
    </row>
    <row r="454">
      <c r="B454" s="36"/>
    </row>
    <row r="455">
      <c r="B455" s="36"/>
    </row>
    <row r="456">
      <c r="B456" s="36"/>
    </row>
    <row r="457">
      <c r="B457" s="36"/>
    </row>
    <row r="458">
      <c r="B458" s="36"/>
    </row>
    <row r="459">
      <c r="B459" s="36"/>
    </row>
    <row r="460">
      <c r="B460" s="36"/>
    </row>
    <row r="461">
      <c r="B461" s="36"/>
    </row>
    <row r="462">
      <c r="B462" s="36"/>
    </row>
    <row r="463">
      <c r="B463" s="36"/>
    </row>
    <row r="464">
      <c r="B464" s="36"/>
    </row>
    <row r="465">
      <c r="B465" s="36"/>
    </row>
    <row r="466">
      <c r="B466" s="36"/>
    </row>
    <row r="467">
      <c r="B467" s="36"/>
    </row>
    <row r="468">
      <c r="B468" s="36"/>
    </row>
    <row r="469">
      <c r="B469" s="36"/>
    </row>
    <row r="470">
      <c r="B470" s="36"/>
    </row>
    <row r="471">
      <c r="B471" s="36"/>
    </row>
    <row r="472">
      <c r="B472" s="36"/>
    </row>
    <row r="473">
      <c r="B473" s="36"/>
    </row>
    <row r="474">
      <c r="B474" s="36"/>
    </row>
    <row r="475">
      <c r="B475" s="36"/>
    </row>
    <row r="476">
      <c r="B476" s="36"/>
    </row>
    <row r="477">
      <c r="B477" s="36"/>
    </row>
    <row r="478">
      <c r="B478" s="36"/>
    </row>
    <row r="479">
      <c r="B479" s="36"/>
    </row>
    <row r="480">
      <c r="B480" s="36"/>
    </row>
    <row r="481">
      <c r="B481" s="36"/>
    </row>
    <row r="482">
      <c r="B482" s="36"/>
    </row>
    <row r="483">
      <c r="B483" s="36"/>
    </row>
    <row r="484">
      <c r="B484" s="36"/>
    </row>
    <row r="485">
      <c r="B485" s="36"/>
    </row>
    <row r="486">
      <c r="B486" s="36"/>
    </row>
    <row r="487">
      <c r="B487" s="36"/>
    </row>
    <row r="488">
      <c r="B488" s="36"/>
    </row>
    <row r="489">
      <c r="B489" s="36"/>
    </row>
    <row r="490">
      <c r="B490" s="36"/>
    </row>
    <row r="491">
      <c r="B491" s="36"/>
    </row>
    <row r="492">
      <c r="B492" s="36"/>
    </row>
    <row r="493">
      <c r="B493" s="36"/>
    </row>
    <row r="494">
      <c r="B494" s="36"/>
    </row>
    <row r="495">
      <c r="B495" s="36"/>
    </row>
    <row r="496">
      <c r="B496" s="36"/>
    </row>
    <row r="497">
      <c r="B497" s="36"/>
    </row>
    <row r="498">
      <c r="B498" s="36"/>
    </row>
    <row r="499">
      <c r="B499" s="36"/>
    </row>
    <row r="500">
      <c r="B500" s="36"/>
    </row>
    <row r="501">
      <c r="B501" s="36"/>
    </row>
    <row r="502">
      <c r="B502" s="36"/>
    </row>
    <row r="503">
      <c r="B503" s="36"/>
    </row>
    <row r="504">
      <c r="B504" s="36"/>
    </row>
    <row r="505">
      <c r="B505" s="36"/>
    </row>
    <row r="506">
      <c r="B506" s="36"/>
    </row>
    <row r="507">
      <c r="B507" s="36"/>
    </row>
    <row r="508">
      <c r="B508" s="36"/>
    </row>
    <row r="509">
      <c r="B509" s="36"/>
    </row>
    <row r="510">
      <c r="B510" s="36"/>
    </row>
    <row r="511">
      <c r="B511" s="36"/>
    </row>
    <row r="512">
      <c r="B512" s="36"/>
    </row>
    <row r="513">
      <c r="B513" s="36"/>
    </row>
    <row r="514">
      <c r="B514" s="36"/>
    </row>
    <row r="515">
      <c r="B515" s="36"/>
    </row>
    <row r="516">
      <c r="B516" s="36"/>
    </row>
    <row r="517">
      <c r="B517" s="36"/>
    </row>
    <row r="518">
      <c r="B518" s="36"/>
    </row>
    <row r="519">
      <c r="B519" s="36"/>
    </row>
    <row r="520">
      <c r="B520" s="36"/>
    </row>
    <row r="521">
      <c r="B521" s="36"/>
    </row>
    <row r="522">
      <c r="B522" s="36"/>
    </row>
    <row r="523">
      <c r="B523" s="36"/>
    </row>
    <row r="524">
      <c r="B524" s="36"/>
    </row>
    <row r="525">
      <c r="B525" s="36"/>
    </row>
    <row r="526">
      <c r="B526" s="36"/>
    </row>
    <row r="527">
      <c r="B527" s="36"/>
    </row>
    <row r="528">
      <c r="B528" s="36"/>
    </row>
    <row r="529">
      <c r="B529" s="36"/>
    </row>
    <row r="530">
      <c r="B530" s="36"/>
    </row>
    <row r="531">
      <c r="B531" s="36"/>
    </row>
    <row r="532">
      <c r="B532" s="36"/>
    </row>
    <row r="533">
      <c r="B533" s="36"/>
    </row>
    <row r="534">
      <c r="B534" s="36"/>
    </row>
    <row r="535">
      <c r="B535" s="36"/>
    </row>
    <row r="536">
      <c r="B536" s="36"/>
    </row>
    <row r="537">
      <c r="B537" s="36"/>
    </row>
    <row r="538">
      <c r="B538" s="36"/>
    </row>
    <row r="539">
      <c r="B539" s="36"/>
    </row>
    <row r="540">
      <c r="B540" s="36"/>
    </row>
    <row r="541">
      <c r="B541" s="36"/>
    </row>
    <row r="542">
      <c r="B542" s="36"/>
    </row>
    <row r="543">
      <c r="B543" s="36"/>
    </row>
    <row r="544">
      <c r="B544" s="36"/>
    </row>
    <row r="545">
      <c r="B545" s="36"/>
    </row>
    <row r="546">
      <c r="B546" s="36"/>
    </row>
    <row r="547">
      <c r="B547" s="36"/>
    </row>
    <row r="548">
      <c r="B548" s="36"/>
    </row>
    <row r="549">
      <c r="B549" s="36"/>
    </row>
    <row r="550">
      <c r="B550" s="36"/>
    </row>
    <row r="551">
      <c r="B551" s="36"/>
    </row>
    <row r="552">
      <c r="B552" s="36"/>
    </row>
    <row r="553">
      <c r="B553" s="36"/>
    </row>
    <row r="554">
      <c r="B554" s="36"/>
    </row>
    <row r="555">
      <c r="B555" s="36"/>
    </row>
    <row r="556">
      <c r="B556" s="36"/>
    </row>
    <row r="557">
      <c r="B557" s="36"/>
    </row>
    <row r="558">
      <c r="B558" s="36"/>
    </row>
    <row r="559">
      <c r="B559" s="36"/>
    </row>
    <row r="560">
      <c r="B560" s="36"/>
    </row>
    <row r="561">
      <c r="B561" s="36"/>
    </row>
    <row r="562">
      <c r="B562" s="36"/>
    </row>
    <row r="563">
      <c r="B563" s="36"/>
    </row>
    <row r="564">
      <c r="B564" s="36"/>
    </row>
    <row r="565">
      <c r="B565" s="36"/>
    </row>
    <row r="566">
      <c r="B566" s="36"/>
    </row>
    <row r="567">
      <c r="B567" s="36"/>
    </row>
    <row r="568">
      <c r="B568" s="36"/>
    </row>
    <row r="569">
      <c r="B569" s="36"/>
    </row>
    <row r="570">
      <c r="B570" s="36"/>
    </row>
    <row r="571">
      <c r="B571" s="36"/>
    </row>
    <row r="572">
      <c r="B572" s="36"/>
    </row>
    <row r="573">
      <c r="B573" s="36"/>
    </row>
    <row r="574">
      <c r="B574" s="36"/>
    </row>
    <row r="575">
      <c r="B575" s="36"/>
    </row>
    <row r="576">
      <c r="B576" s="36"/>
    </row>
    <row r="577">
      <c r="B577" s="36"/>
    </row>
    <row r="578">
      <c r="B578" s="36"/>
    </row>
    <row r="579">
      <c r="B579" s="36"/>
    </row>
    <row r="580">
      <c r="B580" s="36"/>
    </row>
    <row r="581">
      <c r="B581" s="36"/>
    </row>
    <row r="582">
      <c r="B582" s="36"/>
    </row>
    <row r="583">
      <c r="B583" s="36"/>
    </row>
    <row r="584">
      <c r="B584" s="36"/>
    </row>
    <row r="585">
      <c r="B585" s="36"/>
    </row>
    <row r="586">
      <c r="B586" s="36"/>
    </row>
    <row r="587">
      <c r="B587" s="36"/>
    </row>
    <row r="588">
      <c r="B588" s="36"/>
    </row>
    <row r="589">
      <c r="B589" s="36"/>
    </row>
    <row r="590">
      <c r="B590" s="36"/>
    </row>
    <row r="591">
      <c r="B591" s="36"/>
    </row>
    <row r="592">
      <c r="B592" s="36"/>
    </row>
    <row r="593">
      <c r="B593" s="36"/>
    </row>
    <row r="594">
      <c r="B594" s="36"/>
    </row>
    <row r="595">
      <c r="B595" s="36"/>
    </row>
    <row r="596">
      <c r="B596" s="36"/>
    </row>
    <row r="597">
      <c r="B597" s="36"/>
    </row>
    <row r="598">
      <c r="B598" s="36"/>
    </row>
    <row r="599">
      <c r="B599" s="36"/>
    </row>
    <row r="600">
      <c r="B600" s="36"/>
    </row>
    <row r="601">
      <c r="B601" s="36"/>
    </row>
    <row r="602">
      <c r="B602" s="36"/>
    </row>
    <row r="603">
      <c r="B603" s="36"/>
    </row>
    <row r="604">
      <c r="B604" s="36"/>
    </row>
    <row r="605">
      <c r="B605" s="36"/>
    </row>
    <row r="606">
      <c r="B606" s="36"/>
    </row>
    <row r="607">
      <c r="B607" s="36"/>
    </row>
    <row r="608">
      <c r="B608" s="36"/>
    </row>
    <row r="609">
      <c r="B609" s="36"/>
    </row>
    <row r="610">
      <c r="B610" s="36"/>
    </row>
    <row r="611">
      <c r="B611" s="36"/>
    </row>
    <row r="612">
      <c r="B612" s="36"/>
    </row>
    <row r="613">
      <c r="B613" s="36"/>
    </row>
    <row r="614">
      <c r="B614" s="36"/>
    </row>
    <row r="615">
      <c r="B615" s="36"/>
    </row>
    <row r="616">
      <c r="B616" s="36"/>
    </row>
    <row r="617">
      <c r="B617" s="36"/>
    </row>
    <row r="618">
      <c r="B618" s="36"/>
    </row>
    <row r="619">
      <c r="B619" s="36"/>
    </row>
    <row r="620">
      <c r="B620" s="36"/>
    </row>
    <row r="621">
      <c r="B621" s="36"/>
    </row>
    <row r="622">
      <c r="B622" s="36"/>
    </row>
    <row r="623">
      <c r="B623" s="36"/>
    </row>
    <row r="624">
      <c r="B624" s="36"/>
    </row>
    <row r="625">
      <c r="B625" s="36"/>
    </row>
    <row r="626">
      <c r="B626" s="36"/>
    </row>
    <row r="627">
      <c r="B627" s="36"/>
    </row>
    <row r="628">
      <c r="B628" s="36"/>
    </row>
    <row r="629">
      <c r="B629" s="36"/>
    </row>
    <row r="630">
      <c r="B630" s="36"/>
    </row>
    <row r="631">
      <c r="B631" s="36"/>
    </row>
    <row r="632">
      <c r="B632" s="36"/>
    </row>
    <row r="633">
      <c r="B633" s="36"/>
    </row>
    <row r="634">
      <c r="B634" s="36"/>
    </row>
    <row r="635">
      <c r="B635" s="36"/>
    </row>
    <row r="636">
      <c r="B636" s="36"/>
    </row>
    <row r="637">
      <c r="B637" s="36"/>
    </row>
    <row r="638">
      <c r="B638" s="36"/>
    </row>
    <row r="639">
      <c r="B639" s="36"/>
    </row>
    <row r="640">
      <c r="B640" s="36"/>
    </row>
    <row r="641">
      <c r="B641" s="36"/>
    </row>
    <row r="642">
      <c r="B642" s="36"/>
    </row>
    <row r="643">
      <c r="B643" s="36"/>
    </row>
    <row r="644">
      <c r="B644" s="36"/>
    </row>
    <row r="645">
      <c r="B645" s="36"/>
    </row>
    <row r="646">
      <c r="B646" s="36"/>
    </row>
    <row r="647">
      <c r="B647" s="36"/>
    </row>
    <row r="648">
      <c r="B648" s="36"/>
    </row>
    <row r="649">
      <c r="B649" s="36"/>
    </row>
    <row r="650">
      <c r="B650" s="36"/>
    </row>
    <row r="651">
      <c r="B651" s="36"/>
    </row>
    <row r="652">
      <c r="B652" s="36"/>
    </row>
    <row r="653">
      <c r="B653" s="36"/>
    </row>
    <row r="654">
      <c r="B654" s="36"/>
    </row>
    <row r="655">
      <c r="B655" s="36"/>
    </row>
    <row r="656">
      <c r="B656" s="36"/>
    </row>
    <row r="657">
      <c r="B657" s="36"/>
    </row>
    <row r="658">
      <c r="B658" s="36"/>
    </row>
    <row r="659">
      <c r="B659" s="36"/>
    </row>
    <row r="660">
      <c r="B660" s="36"/>
    </row>
    <row r="661">
      <c r="B661" s="36"/>
    </row>
    <row r="662">
      <c r="B662" s="36"/>
    </row>
    <row r="663">
      <c r="B663" s="36"/>
    </row>
    <row r="664">
      <c r="B664" s="36"/>
    </row>
    <row r="665">
      <c r="B665" s="36"/>
    </row>
    <row r="666">
      <c r="B666" s="36"/>
    </row>
    <row r="667">
      <c r="B667" s="36"/>
    </row>
    <row r="668">
      <c r="B668" s="36"/>
    </row>
    <row r="669">
      <c r="B669" s="36"/>
    </row>
    <row r="670">
      <c r="B670" s="36"/>
    </row>
    <row r="671">
      <c r="B671" s="36"/>
    </row>
    <row r="672">
      <c r="B672" s="36"/>
    </row>
    <row r="673">
      <c r="B673" s="36"/>
    </row>
    <row r="674">
      <c r="B674" s="36"/>
    </row>
    <row r="675">
      <c r="B675" s="36"/>
    </row>
    <row r="676">
      <c r="B676" s="36"/>
    </row>
    <row r="677">
      <c r="B677" s="36"/>
    </row>
    <row r="678">
      <c r="B678" s="36"/>
    </row>
    <row r="679">
      <c r="B679" s="36"/>
    </row>
    <row r="680">
      <c r="B680" s="36"/>
    </row>
    <row r="681">
      <c r="B681" s="36"/>
    </row>
    <row r="682">
      <c r="B682" s="36"/>
    </row>
    <row r="683">
      <c r="B683" s="36"/>
    </row>
    <row r="684">
      <c r="B684" s="36"/>
    </row>
    <row r="685">
      <c r="B685" s="36"/>
    </row>
    <row r="686">
      <c r="B686" s="36"/>
    </row>
    <row r="687">
      <c r="B687" s="36"/>
    </row>
    <row r="688">
      <c r="B688" s="36"/>
    </row>
    <row r="689">
      <c r="B689" s="36"/>
    </row>
    <row r="690">
      <c r="B690" s="36"/>
    </row>
    <row r="691">
      <c r="B691" s="36"/>
    </row>
    <row r="692">
      <c r="B692" s="36"/>
    </row>
    <row r="693">
      <c r="B693" s="36"/>
    </row>
    <row r="694">
      <c r="B694" s="36"/>
    </row>
    <row r="695">
      <c r="B695" s="36"/>
    </row>
    <row r="696">
      <c r="B696" s="36"/>
    </row>
    <row r="697">
      <c r="B697" s="36"/>
    </row>
    <row r="698">
      <c r="B698" s="36"/>
    </row>
    <row r="699">
      <c r="B699" s="36"/>
    </row>
    <row r="700">
      <c r="B700" s="36"/>
    </row>
    <row r="701">
      <c r="B701" s="36"/>
    </row>
    <row r="702">
      <c r="B702" s="36"/>
    </row>
    <row r="703">
      <c r="B703" s="36"/>
    </row>
    <row r="704">
      <c r="B704" s="36"/>
    </row>
    <row r="705">
      <c r="B705" s="36"/>
    </row>
    <row r="706">
      <c r="B706" s="36"/>
    </row>
    <row r="707">
      <c r="B707" s="36"/>
    </row>
    <row r="708">
      <c r="B708" s="36"/>
    </row>
    <row r="709">
      <c r="B709" s="36"/>
    </row>
    <row r="710">
      <c r="B710" s="36"/>
    </row>
    <row r="711">
      <c r="B711" s="36"/>
    </row>
    <row r="712">
      <c r="B712" s="36"/>
    </row>
    <row r="713">
      <c r="B713" s="36"/>
    </row>
    <row r="714">
      <c r="B714" s="36"/>
    </row>
    <row r="715">
      <c r="B715" s="36"/>
    </row>
    <row r="716">
      <c r="B716" s="36"/>
    </row>
    <row r="717">
      <c r="B717" s="36"/>
    </row>
    <row r="718">
      <c r="B718" s="36"/>
    </row>
    <row r="719">
      <c r="B719" s="36"/>
    </row>
    <row r="720">
      <c r="B720" s="36"/>
    </row>
    <row r="721">
      <c r="B721" s="36"/>
    </row>
    <row r="722">
      <c r="B722" s="36"/>
    </row>
    <row r="723">
      <c r="B723" s="36"/>
    </row>
    <row r="724">
      <c r="B724" s="36"/>
    </row>
    <row r="725">
      <c r="B725" s="36"/>
    </row>
    <row r="726">
      <c r="B726" s="36"/>
    </row>
    <row r="727">
      <c r="B727" s="36"/>
    </row>
    <row r="728">
      <c r="B728" s="36"/>
    </row>
    <row r="729">
      <c r="B729" s="36"/>
    </row>
    <row r="730">
      <c r="B730" s="36"/>
    </row>
    <row r="731">
      <c r="B731" s="36"/>
    </row>
    <row r="732">
      <c r="B732" s="36"/>
    </row>
    <row r="733">
      <c r="B733" s="36"/>
    </row>
    <row r="734">
      <c r="B734" s="36"/>
    </row>
    <row r="735">
      <c r="B735" s="36"/>
    </row>
    <row r="736">
      <c r="B736" s="36"/>
    </row>
    <row r="737">
      <c r="B737" s="36"/>
    </row>
    <row r="738">
      <c r="B738" s="36"/>
    </row>
    <row r="739">
      <c r="B739" s="36"/>
    </row>
    <row r="740">
      <c r="B740" s="36"/>
    </row>
    <row r="741">
      <c r="B741" s="36"/>
    </row>
    <row r="742">
      <c r="B742" s="36"/>
    </row>
    <row r="743">
      <c r="B743" s="36"/>
    </row>
    <row r="744">
      <c r="B744" s="36"/>
    </row>
    <row r="745">
      <c r="B745" s="36"/>
    </row>
    <row r="746">
      <c r="B746" s="36"/>
    </row>
    <row r="747">
      <c r="B747" s="36"/>
    </row>
    <row r="748">
      <c r="B748" s="36"/>
    </row>
    <row r="749">
      <c r="B749" s="36"/>
    </row>
    <row r="750">
      <c r="B750" s="36"/>
    </row>
    <row r="751">
      <c r="B751" s="36"/>
    </row>
    <row r="752">
      <c r="B752" s="36"/>
    </row>
    <row r="753">
      <c r="B753" s="36"/>
    </row>
    <row r="754">
      <c r="B754" s="36"/>
    </row>
    <row r="755">
      <c r="B755" s="36"/>
    </row>
    <row r="756">
      <c r="B756" s="36"/>
    </row>
    <row r="757">
      <c r="B757" s="36"/>
    </row>
    <row r="758">
      <c r="B758" s="36"/>
    </row>
    <row r="759">
      <c r="B759" s="36"/>
    </row>
    <row r="760">
      <c r="B760" s="36"/>
    </row>
    <row r="761">
      <c r="B761" s="36"/>
    </row>
    <row r="762">
      <c r="B762" s="36"/>
    </row>
    <row r="763">
      <c r="B763" s="36"/>
    </row>
    <row r="764">
      <c r="B764" s="36"/>
    </row>
    <row r="765">
      <c r="B765" s="36"/>
    </row>
    <row r="766">
      <c r="B766" s="36"/>
    </row>
    <row r="767">
      <c r="B767" s="36"/>
    </row>
    <row r="768">
      <c r="B768" s="36"/>
    </row>
    <row r="769">
      <c r="B769" s="36"/>
    </row>
    <row r="770">
      <c r="B770" s="36"/>
    </row>
    <row r="771">
      <c r="B771" s="36"/>
    </row>
    <row r="772">
      <c r="B772" s="36"/>
    </row>
    <row r="773">
      <c r="B773" s="36"/>
    </row>
    <row r="774">
      <c r="B774" s="36"/>
    </row>
    <row r="775">
      <c r="B775" s="36"/>
    </row>
    <row r="776">
      <c r="B776" s="36"/>
    </row>
    <row r="777">
      <c r="B777" s="36"/>
    </row>
    <row r="778">
      <c r="B778" s="36"/>
    </row>
    <row r="779">
      <c r="B779" s="36"/>
    </row>
    <row r="780">
      <c r="B780" s="36"/>
    </row>
    <row r="781">
      <c r="B781" s="36"/>
    </row>
    <row r="782">
      <c r="B782" s="36"/>
    </row>
    <row r="783">
      <c r="B783" s="36"/>
    </row>
    <row r="784">
      <c r="B784" s="36"/>
    </row>
    <row r="785">
      <c r="B785" s="36"/>
    </row>
    <row r="786">
      <c r="B786" s="36"/>
    </row>
    <row r="787">
      <c r="B787" s="36"/>
    </row>
    <row r="788">
      <c r="B788" s="36"/>
    </row>
    <row r="789">
      <c r="B789" s="36"/>
    </row>
    <row r="790">
      <c r="B790" s="36"/>
    </row>
    <row r="791">
      <c r="B791" s="36"/>
    </row>
    <row r="792">
      <c r="B792" s="36"/>
    </row>
    <row r="793">
      <c r="B793" s="36"/>
    </row>
    <row r="794">
      <c r="B794" s="36"/>
    </row>
    <row r="795">
      <c r="B795" s="36"/>
    </row>
    <row r="796">
      <c r="B796" s="36"/>
    </row>
    <row r="797">
      <c r="B797" s="36"/>
    </row>
    <row r="798">
      <c r="B798" s="36"/>
    </row>
    <row r="799">
      <c r="B799" s="36"/>
    </row>
    <row r="800">
      <c r="B800" s="36"/>
    </row>
    <row r="801">
      <c r="B801" s="36"/>
    </row>
    <row r="802">
      <c r="B802" s="36"/>
    </row>
    <row r="803">
      <c r="B803" s="36"/>
    </row>
    <row r="804">
      <c r="B804" s="36"/>
    </row>
    <row r="805">
      <c r="B805" s="36"/>
    </row>
    <row r="806">
      <c r="B806" s="36"/>
    </row>
    <row r="807">
      <c r="B807" s="36"/>
    </row>
    <row r="808">
      <c r="B808" s="36"/>
    </row>
    <row r="809">
      <c r="B809" s="36"/>
    </row>
    <row r="810">
      <c r="B810" s="36"/>
    </row>
    <row r="811">
      <c r="B811" s="36"/>
    </row>
    <row r="812">
      <c r="B812" s="36"/>
    </row>
    <row r="813">
      <c r="B813" s="36"/>
    </row>
    <row r="814">
      <c r="B814" s="36"/>
    </row>
    <row r="815">
      <c r="B815" s="36"/>
    </row>
    <row r="816">
      <c r="B816" s="36"/>
    </row>
    <row r="817">
      <c r="B817" s="36"/>
    </row>
    <row r="818">
      <c r="B818" s="36"/>
    </row>
    <row r="819">
      <c r="B819" s="36"/>
    </row>
    <row r="820">
      <c r="B820" s="36"/>
    </row>
    <row r="821">
      <c r="B821" s="36"/>
    </row>
    <row r="822">
      <c r="B822" s="36"/>
    </row>
    <row r="823">
      <c r="B823" s="36"/>
    </row>
    <row r="824">
      <c r="B824" s="36"/>
    </row>
    <row r="825">
      <c r="B825" s="36"/>
    </row>
    <row r="826">
      <c r="B826" s="36"/>
    </row>
    <row r="827">
      <c r="B827" s="36"/>
    </row>
    <row r="828">
      <c r="B828" s="36"/>
    </row>
    <row r="829">
      <c r="B829" s="36"/>
    </row>
    <row r="830">
      <c r="B830" s="36"/>
    </row>
    <row r="831">
      <c r="B831" s="36"/>
    </row>
    <row r="832">
      <c r="B832" s="36"/>
    </row>
    <row r="833">
      <c r="B833" s="36"/>
    </row>
    <row r="834">
      <c r="B834" s="36"/>
    </row>
    <row r="835">
      <c r="B835" s="36"/>
    </row>
    <row r="836">
      <c r="B836" s="36"/>
    </row>
    <row r="837">
      <c r="B837" s="36"/>
    </row>
    <row r="838">
      <c r="B838" s="36"/>
    </row>
    <row r="839">
      <c r="B839" s="36"/>
    </row>
    <row r="840">
      <c r="B840" s="36"/>
    </row>
    <row r="841">
      <c r="B841" s="36"/>
    </row>
    <row r="842">
      <c r="B842" s="36"/>
    </row>
    <row r="843">
      <c r="B843" s="36"/>
    </row>
    <row r="844">
      <c r="B844" s="36"/>
    </row>
    <row r="845">
      <c r="B845" s="36"/>
    </row>
    <row r="846">
      <c r="B846" s="36"/>
    </row>
    <row r="847">
      <c r="B847" s="36"/>
    </row>
    <row r="848">
      <c r="B848" s="36"/>
    </row>
    <row r="849">
      <c r="B849" s="36"/>
    </row>
    <row r="850">
      <c r="B850" s="36"/>
    </row>
    <row r="851">
      <c r="B851" s="36"/>
    </row>
    <row r="852">
      <c r="B852" s="36"/>
    </row>
    <row r="853">
      <c r="B853" s="36"/>
    </row>
    <row r="854">
      <c r="B854" s="36"/>
    </row>
    <row r="855">
      <c r="B855" s="36"/>
    </row>
    <row r="856">
      <c r="B856" s="36"/>
    </row>
    <row r="857">
      <c r="B857" s="36"/>
    </row>
    <row r="858">
      <c r="B858" s="36"/>
    </row>
    <row r="859">
      <c r="B859" s="36"/>
    </row>
    <row r="860">
      <c r="B860" s="36"/>
    </row>
    <row r="861">
      <c r="B861" s="36"/>
    </row>
    <row r="862">
      <c r="B862" s="36"/>
    </row>
    <row r="863">
      <c r="B863" s="36"/>
    </row>
    <row r="864">
      <c r="B864" s="36"/>
    </row>
    <row r="865">
      <c r="B865" s="36"/>
    </row>
    <row r="866">
      <c r="B866" s="36"/>
    </row>
    <row r="867">
      <c r="B867" s="36"/>
    </row>
    <row r="868">
      <c r="B868" s="36"/>
    </row>
    <row r="869">
      <c r="B869" s="36"/>
    </row>
    <row r="870">
      <c r="B870" s="36"/>
    </row>
    <row r="871">
      <c r="B871" s="36"/>
    </row>
    <row r="872">
      <c r="B872" s="36"/>
    </row>
    <row r="873">
      <c r="B873" s="36"/>
    </row>
    <row r="874">
      <c r="B874" s="36"/>
    </row>
    <row r="875">
      <c r="B875" s="36"/>
    </row>
    <row r="876">
      <c r="B876" s="36"/>
    </row>
    <row r="877">
      <c r="B877" s="36"/>
    </row>
    <row r="878">
      <c r="B878" s="36"/>
    </row>
    <row r="879">
      <c r="B879" s="36"/>
    </row>
    <row r="880">
      <c r="B880" s="36"/>
    </row>
    <row r="881">
      <c r="B881" s="36"/>
    </row>
    <row r="882">
      <c r="B882" s="36"/>
    </row>
    <row r="883">
      <c r="B883" s="36"/>
    </row>
    <row r="884">
      <c r="B884" s="36"/>
    </row>
    <row r="885">
      <c r="B885" s="36"/>
    </row>
    <row r="886">
      <c r="B886" s="36"/>
    </row>
    <row r="887">
      <c r="B887" s="36"/>
    </row>
    <row r="888">
      <c r="B888" s="36"/>
    </row>
    <row r="889">
      <c r="B889" s="36"/>
    </row>
    <row r="890">
      <c r="B890" s="36"/>
    </row>
    <row r="891">
      <c r="B891" s="36"/>
    </row>
    <row r="892">
      <c r="B892" s="36"/>
    </row>
    <row r="893">
      <c r="B893" s="36"/>
    </row>
    <row r="894">
      <c r="B894" s="36"/>
    </row>
    <row r="895">
      <c r="B895" s="36"/>
    </row>
    <row r="896">
      <c r="B896" s="36"/>
    </row>
    <row r="897">
      <c r="B897" s="36"/>
    </row>
    <row r="898">
      <c r="B898" s="36"/>
    </row>
    <row r="899">
      <c r="B899" s="36"/>
    </row>
    <row r="900">
      <c r="B900" s="36"/>
    </row>
    <row r="901">
      <c r="B901" s="36"/>
    </row>
    <row r="902">
      <c r="B902" s="36"/>
    </row>
    <row r="903">
      <c r="B903" s="36"/>
    </row>
    <row r="904">
      <c r="B904" s="36"/>
    </row>
    <row r="905">
      <c r="B905" s="36"/>
    </row>
    <row r="906">
      <c r="B906" s="36"/>
    </row>
    <row r="907">
      <c r="B907" s="36"/>
    </row>
    <row r="908">
      <c r="B908" s="36"/>
    </row>
    <row r="909">
      <c r="B909" s="36"/>
    </row>
    <row r="910">
      <c r="B910" s="36"/>
    </row>
    <row r="911">
      <c r="B911" s="36"/>
    </row>
    <row r="912">
      <c r="B912" s="36"/>
    </row>
    <row r="913">
      <c r="B913" s="36"/>
    </row>
    <row r="914">
      <c r="B914" s="36"/>
    </row>
    <row r="915">
      <c r="B915" s="36"/>
    </row>
    <row r="916">
      <c r="B916" s="36"/>
    </row>
    <row r="917">
      <c r="B917" s="36"/>
    </row>
    <row r="918">
      <c r="B918" s="36"/>
    </row>
    <row r="919">
      <c r="B919" s="36"/>
    </row>
    <row r="920">
      <c r="B920" s="36"/>
    </row>
    <row r="921">
      <c r="B921" s="36"/>
    </row>
    <row r="922">
      <c r="B922" s="36"/>
    </row>
    <row r="923">
      <c r="B923" s="36"/>
    </row>
    <row r="924">
      <c r="B924" s="36"/>
    </row>
    <row r="925">
      <c r="B925" s="36"/>
    </row>
    <row r="926">
      <c r="B926" s="36"/>
    </row>
    <row r="927">
      <c r="B927" s="36"/>
    </row>
    <row r="928">
      <c r="B928" s="36"/>
    </row>
    <row r="929">
      <c r="B929" s="36"/>
    </row>
    <row r="930">
      <c r="B930" s="36"/>
    </row>
    <row r="931">
      <c r="B931" s="36"/>
    </row>
    <row r="932">
      <c r="B932" s="36"/>
    </row>
    <row r="933">
      <c r="B933" s="36"/>
    </row>
    <row r="934">
      <c r="B934" s="36"/>
    </row>
    <row r="935">
      <c r="B935" s="36"/>
    </row>
    <row r="936">
      <c r="B936" s="36"/>
    </row>
    <row r="937">
      <c r="B937" s="36"/>
    </row>
    <row r="938">
      <c r="B938" s="36"/>
    </row>
    <row r="939">
      <c r="B939" s="36"/>
    </row>
    <row r="940">
      <c r="B940" s="36"/>
    </row>
    <row r="941">
      <c r="B941" s="36"/>
    </row>
    <row r="942">
      <c r="B942" s="36"/>
    </row>
    <row r="943">
      <c r="B943" s="36"/>
    </row>
    <row r="944">
      <c r="B944" s="36"/>
    </row>
    <row r="945">
      <c r="B945" s="36"/>
    </row>
    <row r="946">
      <c r="B946" s="36"/>
    </row>
    <row r="947">
      <c r="B947" s="36"/>
    </row>
    <row r="948">
      <c r="B948" s="36"/>
    </row>
    <row r="949">
      <c r="B949" s="36"/>
    </row>
    <row r="950">
      <c r="B950" s="36"/>
    </row>
    <row r="951">
      <c r="B951" s="36"/>
    </row>
    <row r="952">
      <c r="B952" s="36"/>
    </row>
    <row r="953">
      <c r="B953" s="36"/>
    </row>
    <row r="954">
      <c r="B954" s="36"/>
    </row>
    <row r="955">
      <c r="B955" s="36"/>
    </row>
    <row r="956">
      <c r="B956" s="36"/>
    </row>
    <row r="957">
      <c r="B957" s="36"/>
    </row>
    <row r="958">
      <c r="B958" s="36"/>
    </row>
    <row r="959">
      <c r="B959" s="36"/>
    </row>
    <row r="960">
      <c r="B960" s="36"/>
    </row>
    <row r="961">
      <c r="B961" s="36"/>
    </row>
    <row r="962">
      <c r="B962" s="36"/>
    </row>
    <row r="963">
      <c r="B963" s="36"/>
    </row>
    <row r="964">
      <c r="B964" s="36"/>
    </row>
    <row r="965">
      <c r="B965" s="36"/>
    </row>
    <row r="966">
      <c r="B966" s="36"/>
    </row>
    <row r="967">
      <c r="B967" s="36"/>
    </row>
    <row r="968">
      <c r="B968" s="36"/>
    </row>
    <row r="969">
      <c r="B969" s="36"/>
    </row>
    <row r="970">
      <c r="B970" s="36"/>
    </row>
    <row r="971">
      <c r="B971" s="36"/>
    </row>
    <row r="972">
      <c r="B972" s="36"/>
    </row>
    <row r="973">
      <c r="B973" s="36"/>
    </row>
    <row r="974">
      <c r="B974" s="36"/>
    </row>
    <row r="975">
      <c r="B975" s="36"/>
    </row>
    <row r="976">
      <c r="B976" s="36"/>
    </row>
    <row r="977">
      <c r="B977" s="36"/>
    </row>
    <row r="978">
      <c r="B978" s="36"/>
    </row>
    <row r="979">
      <c r="B979" s="36"/>
    </row>
    <row r="980">
      <c r="B980" s="36"/>
    </row>
    <row r="981">
      <c r="B981" s="36"/>
    </row>
    <row r="982">
      <c r="B982" s="36"/>
    </row>
    <row r="983">
      <c r="B983" s="36"/>
    </row>
    <row r="984">
      <c r="B984" s="36"/>
    </row>
    <row r="985">
      <c r="B985" s="36"/>
    </row>
    <row r="986">
      <c r="B986" s="36"/>
    </row>
    <row r="987">
      <c r="B987" s="36"/>
    </row>
    <row r="988">
      <c r="B988" s="36"/>
    </row>
    <row r="989">
      <c r="B989" s="36"/>
    </row>
    <row r="990">
      <c r="B990" s="36"/>
    </row>
    <row r="991">
      <c r="B991" s="36"/>
    </row>
    <row r="992">
      <c r="B992" s="36"/>
    </row>
    <row r="993">
      <c r="B993" s="36"/>
    </row>
    <row r="994">
      <c r="B994" s="36"/>
    </row>
    <row r="995">
      <c r="B995" s="36"/>
    </row>
    <row r="996">
      <c r="B996" s="36"/>
    </row>
    <row r="997">
      <c r="B997" s="36"/>
    </row>
    <row r="998">
      <c r="B998" s="36"/>
    </row>
    <row r="999">
      <c r="B999" s="36"/>
    </row>
    <row r="1000">
      <c r="B1000" s="36"/>
    </row>
    <row r="1001">
      <c r="B1001" s="36"/>
    </row>
    <row r="1002">
      <c r="B1002" s="3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s>
  <sheetData>
    <row r="1">
      <c r="A1" s="37" t="s">
        <v>15</v>
      </c>
      <c r="B1" s="38"/>
    </row>
    <row r="2">
      <c r="A2" s="39" t="str">
        <f t="array" ref="A2:A10">'Ответы на форму (1)'!B3:B11</f>
        <v>Кипр</v>
      </c>
      <c r="B2" s="40" t="s">
        <v>53</v>
      </c>
    </row>
    <row r="3">
      <c r="A3" s="39" t="s">
        <v>22</v>
      </c>
      <c r="B3" s="40" t="s">
        <v>53</v>
      </c>
    </row>
    <row r="4">
      <c r="A4" s="39" t="s">
        <v>25</v>
      </c>
      <c r="B4" s="40" t="s">
        <v>53</v>
      </c>
    </row>
    <row r="5">
      <c r="A5" s="39" t="s">
        <v>28</v>
      </c>
      <c r="B5" s="40" t="s">
        <v>53</v>
      </c>
    </row>
    <row r="6">
      <c r="A6" s="39" t="s">
        <v>31</v>
      </c>
      <c r="B6" s="40" t="s">
        <v>53</v>
      </c>
    </row>
    <row r="7">
      <c r="A7" s="41" t="s">
        <v>34</v>
      </c>
      <c r="B7" s="40" t="s">
        <v>53</v>
      </c>
    </row>
    <row r="8">
      <c r="A8" s="41" t="s">
        <v>37</v>
      </c>
      <c r="B8" s="40" t="s">
        <v>53</v>
      </c>
    </row>
    <row r="9">
      <c r="A9" s="41" t="s">
        <v>40</v>
      </c>
      <c r="B9" s="40" t="s">
        <v>53</v>
      </c>
    </row>
    <row r="10">
      <c r="A10" s="41" t="s">
        <v>43</v>
      </c>
      <c r="B10" s="40" t="s">
        <v>53</v>
      </c>
    </row>
  </sheetData>
  <mergeCells count="1">
    <mergeCell ref="A1:B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23.88"/>
  </cols>
  <sheetData>
    <row r="1">
      <c r="A1" s="42" t="s">
        <v>54</v>
      </c>
    </row>
    <row r="34">
      <c r="A34" s="43" t="s">
        <v>55</v>
      </c>
      <c r="C34" s="44"/>
      <c r="F34" s="43" t="s">
        <v>56</v>
      </c>
      <c r="H34" s="44"/>
    </row>
    <row r="35"/>
    <row r="36"/>
    <row r="37"/>
    <row r="38"/>
    <row r="39"/>
    <row r="40"/>
    <row r="41"/>
    <row r="42"/>
    <row r="43"/>
    <row r="44"/>
    <row r="45"/>
    <row r="46">
      <c r="G46" s="49"/>
    </row>
    <row r="49">
      <c r="A49" s="43" t="s">
        <v>59</v>
      </c>
      <c r="F49" s="43" t="s">
        <v>60</v>
      </c>
    </row>
    <row r="50"/>
    <row r="51"/>
    <row r="52"/>
    <row r="53"/>
    <row r="54"/>
    <row r="55"/>
    <row r="56"/>
    <row r="57"/>
    <row r="58"/>
    <row r="59"/>
    <row r="60"/>
  </sheetData>
  <mergeCells count="5">
    <mergeCell ref="A1:J1"/>
    <mergeCell ref="A34:B34"/>
    <mergeCell ref="F34:G34"/>
    <mergeCell ref="A49:B49"/>
    <mergeCell ref="F49:G49"/>
  </mergeCells>
  <drawing r:id="rId5"/>
  <extLst>
    <ext uri="{3A4CF648-6AED-40f4-86FF-DC5316D8AED3}">
      <x14:slicerList>
        <x14:slicer r:id="rId6"/>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I1" s="54"/>
    </row>
    <row r="2">
      <c r="H2" s="55" t="s">
        <v>63</v>
      </c>
      <c r="I2" s="56">
        <f>CORREL('Ответы на форму (1)'!M:M,'Ответы на форму (1)'!J:J)</f>
        <v>0.7521575642</v>
      </c>
    </row>
    <row r="3">
      <c r="I3" s="57"/>
    </row>
    <row r="4">
      <c r="I4" s="54"/>
    </row>
    <row r="5">
      <c r="I5" s="54"/>
    </row>
    <row r="6">
      <c r="I6" s="54"/>
    </row>
    <row r="7">
      <c r="H7" s="58" t="s">
        <v>64</v>
      </c>
    </row>
    <row r="8">
      <c r="I8" s="54"/>
    </row>
    <row r="9">
      <c r="I9" s="54"/>
    </row>
    <row r="10">
      <c r="I10" s="54"/>
    </row>
    <row r="11">
      <c r="I11" s="54"/>
    </row>
    <row r="12">
      <c r="I12" s="54"/>
    </row>
    <row r="13">
      <c r="I13" s="54"/>
    </row>
    <row r="14">
      <c r="I14" s="54"/>
    </row>
    <row r="15">
      <c r="I15" s="54"/>
    </row>
    <row r="16">
      <c r="I16" s="54"/>
    </row>
    <row r="17">
      <c r="I17" s="54"/>
    </row>
    <row r="18">
      <c r="I18" s="54"/>
    </row>
    <row r="19">
      <c r="I19" s="54"/>
    </row>
    <row r="20">
      <c r="I20" s="54"/>
    </row>
    <row r="21">
      <c r="I21" s="54"/>
    </row>
    <row r="22">
      <c r="I22" s="54"/>
    </row>
    <row r="23">
      <c r="I23" s="54"/>
    </row>
    <row r="24">
      <c r="I24" s="54"/>
    </row>
    <row r="25">
      <c r="I25" s="54"/>
    </row>
    <row r="26">
      <c r="I26" s="54"/>
    </row>
    <row r="27">
      <c r="I27" s="54"/>
    </row>
    <row r="28">
      <c r="I28" s="54"/>
    </row>
    <row r="29">
      <c r="I29" s="54"/>
    </row>
    <row r="30">
      <c r="I30" s="54"/>
    </row>
    <row r="31">
      <c r="I31" s="54"/>
    </row>
    <row r="32">
      <c r="I32" s="54"/>
    </row>
    <row r="33">
      <c r="I33" s="54"/>
    </row>
    <row r="34">
      <c r="I34" s="54"/>
    </row>
    <row r="35">
      <c r="I35" s="54"/>
    </row>
    <row r="36">
      <c r="I36" s="54"/>
    </row>
    <row r="37">
      <c r="I37" s="54"/>
    </row>
    <row r="38">
      <c r="I38" s="54"/>
    </row>
    <row r="39">
      <c r="I39" s="54"/>
    </row>
    <row r="40">
      <c r="I40" s="54"/>
    </row>
    <row r="41">
      <c r="I41" s="54"/>
    </row>
    <row r="42">
      <c r="I42" s="54"/>
    </row>
    <row r="43">
      <c r="I43" s="54"/>
    </row>
    <row r="44">
      <c r="I44" s="54"/>
    </row>
    <row r="45">
      <c r="I45" s="54"/>
    </row>
    <row r="46">
      <c r="I46" s="54"/>
    </row>
    <row r="47">
      <c r="I47" s="54"/>
    </row>
    <row r="48">
      <c r="I48" s="54"/>
    </row>
    <row r="49">
      <c r="I49" s="54"/>
    </row>
    <row r="50">
      <c r="I50" s="54"/>
    </row>
    <row r="51">
      <c r="I51" s="54"/>
    </row>
    <row r="52">
      <c r="I52" s="54"/>
    </row>
    <row r="53">
      <c r="I53" s="54"/>
    </row>
    <row r="54">
      <c r="I54" s="54"/>
    </row>
    <row r="55">
      <c r="I55" s="54"/>
    </row>
    <row r="56">
      <c r="I56" s="54"/>
    </row>
    <row r="57">
      <c r="I57" s="54"/>
    </row>
    <row r="58">
      <c r="I58" s="54"/>
    </row>
    <row r="59">
      <c r="I59" s="54"/>
    </row>
    <row r="60">
      <c r="I60" s="54"/>
    </row>
    <row r="61">
      <c r="I61" s="54"/>
    </row>
    <row r="62">
      <c r="I62" s="54"/>
    </row>
    <row r="63">
      <c r="I63" s="54"/>
    </row>
    <row r="64">
      <c r="I64" s="54"/>
    </row>
    <row r="65">
      <c r="I65" s="54"/>
    </row>
    <row r="66">
      <c r="I66" s="54"/>
    </row>
    <row r="67">
      <c r="I67" s="54"/>
    </row>
    <row r="68">
      <c r="I68" s="54"/>
    </row>
    <row r="69">
      <c r="I69" s="54"/>
    </row>
    <row r="70">
      <c r="I70" s="54"/>
    </row>
    <row r="71">
      <c r="I71" s="54"/>
    </row>
    <row r="72">
      <c r="I72" s="54"/>
    </row>
    <row r="73">
      <c r="I73" s="54"/>
    </row>
    <row r="74">
      <c r="I74" s="54"/>
    </row>
    <row r="75">
      <c r="I75" s="54"/>
    </row>
    <row r="76">
      <c r="I76" s="54"/>
    </row>
    <row r="77">
      <c r="I77" s="54"/>
    </row>
    <row r="78">
      <c r="I78" s="54"/>
    </row>
    <row r="79">
      <c r="I79" s="54"/>
    </row>
    <row r="80">
      <c r="I80" s="54"/>
    </row>
    <row r="81">
      <c r="I81" s="54"/>
    </row>
    <row r="82">
      <c r="I82" s="54"/>
    </row>
    <row r="83">
      <c r="I83" s="54"/>
    </row>
    <row r="84">
      <c r="I84" s="54"/>
    </row>
    <row r="85">
      <c r="I85" s="54"/>
    </row>
    <row r="86">
      <c r="I86" s="54"/>
    </row>
    <row r="87">
      <c r="I87" s="54"/>
    </row>
    <row r="88">
      <c r="I88" s="54"/>
    </row>
    <row r="89">
      <c r="I89" s="54"/>
    </row>
    <row r="90">
      <c r="I90" s="54"/>
    </row>
    <row r="91">
      <c r="I91" s="54"/>
    </row>
    <row r="92">
      <c r="I92" s="54"/>
    </row>
    <row r="93">
      <c r="I93" s="54"/>
    </row>
    <row r="94">
      <c r="I94" s="54"/>
    </row>
    <row r="95">
      <c r="I95" s="54"/>
    </row>
    <row r="96">
      <c r="I96" s="54"/>
    </row>
    <row r="97">
      <c r="I97" s="54"/>
    </row>
    <row r="98">
      <c r="I98" s="54"/>
    </row>
    <row r="99">
      <c r="I99" s="54"/>
    </row>
    <row r="100">
      <c r="I100" s="54"/>
    </row>
    <row r="101">
      <c r="I101" s="54"/>
    </row>
    <row r="102">
      <c r="I102" s="54"/>
    </row>
    <row r="103">
      <c r="I103" s="54"/>
    </row>
    <row r="104">
      <c r="I104" s="54"/>
    </row>
    <row r="105">
      <c r="I105" s="54"/>
    </row>
    <row r="106">
      <c r="I106" s="54"/>
    </row>
    <row r="107">
      <c r="I107" s="54"/>
    </row>
    <row r="108">
      <c r="I108" s="54"/>
    </row>
    <row r="109">
      <c r="I109" s="54"/>
    </row>
    <row r="110">
      <c r="I110" s="54"/>
    </row>
    <row r="111">
      <c r="I111" s="54"/>
    </row>
    <row r="112">
      <c r="I112" s="54"/>
    </row>
    <row r="113">
      <c r="I113" s="54"/>
    </row>
    <row r="114">
      <c r="I114" s="54"/>
    </row>
    <row r="115">
      <c r="I115" s="54"/>
    </row>
    <row r="116">
      <c r="I116" s="54"/>
    </row>
    <row r="117">
      <c r="I117" s="54"/>
    </row>
    <row r="118">
      <c r="I118" s="54"/>
    </row>
    <row r="119">
      <c r="I119" s="54"/>
    </row>
    <row r="120">
      <c r="I120" s="54"/>
    </row>
    <row r="121">
      <c r="I121" s="54"/>
    </row>
    <row r="122">
      <c r="I122" s="54"/>
    </row>
    <row r="123">
      <c r="I123" s="54"/>
    </row>
    <row r="124">
      <c r="I124" s="54"/>
    </row>
    <row r="125">
      <c r="I125" s="54"/>
    </row>
    <row r="126">
      <c r="I126" s="54"/>
    </row>
    <row r="127">
      <c r="I127" s="54"/>
    </row>
    <row r="128">
      <c r="I128" s="54"/>
    </row>
    <row r="129">
      <c r="I129" s="54"/>
    </row>
    <row r="130">
      <c r="I130" s="54"/>
    </row>
    <row r="131">
      <c r="I131" s="54"/>
    </row>
    <row r="132">
      <c r="I132" s="54"/>
    </row>
    <row r="133">
      <c r="I133" s="54"/>
    </row>
    <row r="134">
      <c r="I134" s="54"/>
    </row>
    <row r="135">
      <c r="I135" s="54"/>
    </row>
    <row r="136">
      <c r="I136" s="54"/>
    </row>
    <row r="137">
      <c r="I137" s="54"/>
    </row>
    <row r="138">
      <c r="I138" s="54"/>
    </row>
    <row r="139">
      <c r="I139" s="54"/>
    </row>
    <row r="140">
      <c r="I140" s="54"/>
    </row>
    <row r="141">
      <c r="I141" s="54"/>
    </row>
    <row r="142">
      <c r="I142" s="54"/>
    </row>
    <row r="143">
      <c r="I143" s="54"/>
    </row>
    <row r="144">
      <c r="I144" s="54"/>
    </row>
    <row r="145">
      <c r="I145" s="54"/>
    </row>
    <row r="146">
      <c r="I146" s="54"/>
    </row>
    <row r="147">
      <c r="I147" s="54"/>
    </row>
    <row r="148">
      <c r="I148" s="54"/>
    </row>
    <row r="149">
      <c r="I149" s="54"/>
    </row>
    <row r="150">
      <c r="I150" s="54"/>
    </row>
    <row r="151">
      <c r="I151" s="54"/>
    </row>
    <row r="152">
      <c r="I152" s="54"/>
    </row>
    <row r="153">
      <c r="I153" s="54"/>
    </row>
    <row r="154">
      <c r="I154" s="54"/>
    </row>
    <row r="155">
      <c r="I155" s="54"/>
    </row>
    <row r="156">
      <c r="I156" s="54"/>
    </row>
    <row r="157">
      <c r="I157" s="54"/>
    </row>
    <row r="158">
      <c r="I158" s="54"/>
    </row>
    <row r="159">
      <c r="I159" s="54"/>
    </row>
    <row r="160">
      <c r="I160" s="54"/>
    </row>
    <row r="161">
      <c r="I161" s="54"/>
    </row>
    <row r="162">
      <c r="I162" s="54"/>
    </row>
    <row r="163">
      <c r="I163" s="54"/>
    </row>
    <row r="164">
      <c r="I164" s="54"/>
    </row>
    <row r="165">
      <c r="I165" s="54"/>
    </row>
    <row r="166">
      <c r="I166" s="54"/>
    </row>
    <row r="167">
      <c r="I167" s="54"/>
    </row>
    <row r="168">
      <c r="I168" s="54"/>
    </row>
    <row r="169">
      <c r="I169" s="54"/>
    </row>
    <row r="170">
      <c r="I170" s="54"/>
    </row>
    <row r="171">
      <c r="I171" s="54"/>
    </row>
    <row r="172">
      <c r="I172" s="54"/>
    </row>
    <row r="173">
      <c r="I173" s="54"/>
    </row>
    <row r="174">
      <c r="I174" s="54"/>
    </row>
    <row r="175">
      <c r="I175" s="54"/>
    </row>
    <row r="176">
      <c r="I176" s="54"/>
    </row>
    <row r="177">
      <c r="I177" s="54"/>
    </row>
    <row r="178">
      <c r="I178" s="54"/>
    </row>
    <row r="179">
      <c r="I179" s="54"/>
    </row>
    <row r="180">
      <c r="I180" s="54"/>
    </row>
    <row r="181">
      <c r="I181" s="54"/>
    </row>
    <row r="182">
      <c r="I182" s="54"/>
    </row>
    <row r="183">
      <c r="I183" s="54"/>
    </row>
    <row r="184">
      <c r="I184" s="54"/>
    </row>
    <row r="185">
      <c r="I185" s="54"/>
    </row>
    <row r="186">
      <c r="I186" s="54"/>
    </row>
    <row r="187">
      <c r="I187" s="54"/>
    </row>
    <row r="188">
      <c r="I188" s="54"/>
    </row>
    <row r="189">
      <c r="I189" s="54"/>
    </row>
    <row r="190">
      <c r="I190" s="54"/>
    </row>
    <row r="191">
      <c r="I191" s="54"/>
    </row>
    <row r="192">
      <c r="I192" s="54"/>
    </row>
    <row r="193">
      <c r="I193" s="54"/>
    </row>
    <row r="194">
      <c r="I194" s="54"/>
    </row>
    <row r="195">
      <c r="I195" s="54"/>
    </row>
    <row r="196">
      <c r="I196" s="54"/>
    </row>
    <row r="197">
      <c r="I197" s="54"/>
    </row>
    <row r="198">
      <c r="I198" s="54"/>
    </row>
    <row r="199">
      <c r="I199" s="54"/>
    </row>
    <row r="200">
      <c r="I200" s="54"/>
    </row>
    <row r="201">
      <c r="I201" s="54"/>
    </row>
    <row r="202">
      <c r="I202" s="54"/>
    </row>
    <row r="203">
      <c r="I203" s="54"/>
    </row>
    <row r="204">
      <c r="I204" s="54"/>
    </row>
    <row r="205">
      <c r="I205" s="54"/>
    </row>
    <row r="206">
      <c r="I206" s="54"/>
    </row>
    <row r="207">
      <c r="I207" s="54"/>
    </row>
    <row r="208">
      <c r="I208" s="54"/>
    </row>
    <row r="209">
      <c r="I209" s="54"/>
    </row>
    <row r="210">
      <c r="I210" s="54"/>
    </row>
    <row r="211">
      <c r="I211" s="54"/>
    </row>
    <row r="212">
      <c r="I212" s="54"/>
    </row>
    <row r="213">
      <c r="I213" s="54"/>
    </row>
    <row r="214">
      <c r="I214" s="54"/>
    </row>
    <row r="215">
      <c r="I215" s="54"/>
    </row>
    <row r="216">
      <c r="I216" s="54"/>
    </row>
    <row r="217">
      <c r="I217" s="54"/>
    </row>
    <row r="218">
      <c r="I218" s="54"/>
    </row>
    <row r="219">
      <c r="I219" s="54"/>
    </row>
    <row r="220">
      <c r="I220" s="54"/>
    </row>
    <row r="221">
      <c r="I221" s="54"/>
    </row>
    <row r="222">
      <c r="I222" s="54"/>
    </row>
    <row r="223">
      <c r="I223" s="54"/>
    </row>
    <row r="224">
      <c r="I224" s="54"/>
    </row>
    <row r="225">
      <c r="I225" s="54"/>
    </row>
    <row r="226">
      <c r="I226" s="54"/>
    </row>
    <row r="227">
      <c r="I227" s="54"/>
    </row>
    <row r="228">
      <c r="I228" s="54"/>
    </row>
    <row r="229">
      <c r="I229" s="54"/>
    </row>
    <row r="230">
      <c r="I230" s="54"/>
    </row>
    <row r="231">
      <c r="I231" s="54"/>
    </row>
    <row r="232">
      <c r="I232" s="54"/>
    </row>
    <row r="233">
      <c r="I233" s="54"/>
    </row>
    <row r="234">
      <c r="I234" s="54"/>
    </row>
    <row r="235">
      <c r="I235" s="54"/>
    </row>
    <row r="236">
      <c r="I236" s="54"/>
    </row>
    <row r="237">
      <c r="I237" s="54"/>
    </row>
    <row r="238">
      <c r="I238" s="54"/>
    </row>
    <row r="239">
      <c r="I239" s="54"/>
    </row>
    <row r="240">
      <c r="I240" s="54"/>
    </row>
    <row r="241">
      <c r="I241" s="54"/>
    </row>
    <row r="242">
      <c r="I242" s="54"/>
    </row>
    <row r="243">
      <c r="I243" s="54"/>
    </row>
    <row r="244">
      <c r="I244" s="54"/>
    </row>
    <row r="245">
      <c r="I245" s="54"/>
    </row>
    <row r="246">
      <c r="I246" s="54"/>
    </row>
    <row r="247">
      <c r="I247" s="54"/>
    </row>
    <row r="248">
      <c r="I248" s="54"/>
    </row>
    <row r="249">
      <c r="I249" s="54"/>
    </row>
    <row r="250">
      <c r="I250" s="54"/>
    </row>
    <row r="251">
      <c r="I251" s="54"/>
    </row>
    <row r="252">
      <c r="I252" s="54"/>
    </row>
    <row r="253">
      <c r="I253" s="54"/>
    </row>
    <row r="254">
      <c r="I254" s="54"/>
    </row>
    <row r="255">
      <c r="I255" s="54"/>
    </row>
    <row r="256">
      <c r="I256" s="54"/>
    </row>
    <row r="257">
      <c r="I257" s="54"/>
    </row>
    <row r="258">
      <c r="I258" s="54"/>
    </row>
    <row r="259">
      <c r="I259" s="54"/>
    </row>
    <row r="260">
      <c r="I260" s="54"/>
    </row>
    <row r="261">
      <c r="I261" s="54"/>
    </row>
    <row r="262">
      <c r="I262" s="54"/>
    </row>
    <row r="263">
      <c r="I263" s="54"/>
    </row>
    <row r="264">
      <c r="I264" s="54"/>
    </row>
    <row r="265">
      <c r="I265" s="54"/>
    </row>
    <row r="266">
      <c r="I266" s="54"/>
    </row>
    <row r="267">
      <c r="I267" s="54"/>
    </row>
    <row r="268">
      <c r="I268" s="54"/>
    </row>
    <row r="269">
      <c r="I269" s="54"/>
    </row>
    <row r="270">
      <c r="I270" s="54"/>
    </row>
    <row r="271">
      <c r="I271" s="54"/>
    </row>
    <row r="272">
      <c r="I272" s="54"/>
    </row>
    <row r="273">
      <c r="I273" s="54"/>
    </row>
    <row r="274">
      <c r="I274" s="54"/>
    </row>
    <row r="275">
      <c r="I275" s="54"/>
    </row>
    <row r="276">
      <c r="I276" s="54"/>
    </row>
    <row r="277">
      <c r="I277" s="54"/>
    </row>
    <row r="278">
      <c r="I278" s="54"/>
    </row>
    <row r="279">
      <c r="I279" s="54"/>
    </row>
    <row r="280">
      <c r="I280" s="54"/>
    </row>
    <row r="281">
      <c r="I281" s="54"/>
    </row>
    <row r="282">
      <c r="I282" s="54"/>
    </row>
    <row r="283">
      <c r="I283" s="54"/>
    </row>
    <row r="284">
      <c r="I284" s="54"/>
    </row>
    <row r="285">
      <c r="I285" s="54"/>
    </row>
    <row r="286">
      <c r="I286" s="54"/>
    </row>
    <row r="287">
      <c r="I287" s="54"/>
    </row>
    <row r="288">
      <c r="I288" s="54"/>
    </row>
    <row r="289">
      <c r="I289" s="54"/>
    </row>
    <row r="290">
      <c r="I290" s="54"/>
    </row>
    <row r="291">
      <c r="I291" s="54"/>
    </row>
    <row r="292">
      <c r="I292" s="54"/>
    </row>
    <row r="293">
      <c r="I293" s="54"/>
    </row>
    <row r="294">
      <c r="I294" s="54"/>
    </row>
    <row r="295">
      <c r="I295" s="54"/>
    </row>
    <row r="296">
      <c r="I296" s="54"/>
    </row>
    <row r="297">
      <c r="I297" s="54"/>
    </row>
    <row r="298">
      <c r="I298" s="54"/>
    </row>
    <row r="299">
      <c r="I299" s="54"/>
    </row>
    <row r="300">
      <c r="I300" s="54"/>
    </row>
    <row r="301">
      <c r="I301" s="54"/>
    </row>
    <row r="302">
      <c r="I302" s="54"/>
    </row>
    <row r="303">
      <c r="I303" s="54"/>
    </row>
    <row r="304">
      <c r="I304" s="54"/>
    </row>
    <row r="305">
      <c r="I305" s="54"/>
    </row>
    <row r="306">
      <c r="I306" s="54"/>
    </row>
    <row r="307">
      <c r="I307" s="54"/>
    </row>
    <row r="308">
      <c r="I308" s="54"/>
    </row>
    <row r="309">
      <c r="I309" s="54"/>
    </row>
    <row r="310">
      <c r="I310" s="54"/>
    </row>
    <row r="311">
      <c r="I311" s="54"/>
    </row>
    <row r="312">
      <c r="I312" s="54"/>
    </row>
    <row r="313">
      <c r="I313" s="54"/>
    </row>
    <row r="314">
      <c r="I314" s="54"/>
    </row>
    <row r="315">
      <c r="I315" s="54"/>
    </row>
    <row r="316">
      <c r="I316" s="54"/>
    </row>
    <row r="317">
      <c r="I317" s="54"/>
    </row>
    <row r="318">
      <c r="I318" s="54"/>
    </row>
    <row r="319">
      <c r="I319" s="54"/>
    </row>
    <row r="320">
      <c r="I320" s="54"/>
    </row>
    <row r="321">
      <c r="I321" s="54"/>
    </row>
    <row r="322">
      <c r="I322" s="54"/>
    </row>
    <row r="323">
      <c r="I323" s="54"/>
    </row>
    <row r="324">
      <c r="I324" s="54"/>
    </row>
    <row r="325">
      <c r="I325" s="54"/>
    </row>
    <row r="326">
      <c r="I326" s="54"/>
    </row>
    <row r="327">
      <c r="I327" s="54"/>
    </row>
    <row r="328">
      <c r="I328" s="54"/>
    </row>
    <row r="329">
      <c r="I329" s="54"/>
    </row>
    <row r="330">
      <c r="I330" s="54"/>
    </row>
    <row r="331">
      <c r="I331" s="54"/>
    </row>
    <row r="332">
      <c r="I332" s="54"/>
    </row>
    <row r="333">
      <c r="I333" s="54"/>
    </row>
    <row r="334">
      <c r="I334" s="54"/>
    </row>
    <row r="335">
      <c r="I335" s="54"/>
    </row>
    <row r="336">
      <c r="I336" s="54"/>
    </row>
    <row r="337">
      <c r="I337" s="54"/>
    </row>
    <row r="338">
      <c r="I338" s="54"/>
    </row>
    <row r="339">
      <c r="I339" s="54"/>
    </row>
    <row r="340">
      <c r="I340" s="54"/>
    </row>
    <row r="341">
      <c r="I341" s="54"/>
    </row>
    <row r="342">
      <c r="I342" s="54"/>
    </row>
    <row r="343">
      <c r="I343" s="54"/>
    </row>
    <row r="344">
      <c r="I344" s="54"/>
    </row>
    <row r="345">
      <c r="I345" s="54"/>
    </row>
    <row r="346">
      <c r="I346" s="54"/>
    </row>
    <row r="347">
      <c r="I347" s="54"/>
    </row>
    <row r="348">
      <c r="I348" s="54"/>
    </row>
    <row r="349">
      <c r="I349" s="54"/>
    </row>
    <row r="350">
      <c r="I350" s="54"/>
    </row>
    <row r="351">
      <c r="I351" s="54"/>
    </row>
    <row r="352">
      <c r="I352" s="54"/>
    </row>
    <row r="353">
      <c r="I353" s="54"/>
    </row>
    <row r="354">
      <c r="I354" s="54"/>
    </row>
    <row r="355">
      <c r="I355" s="54"/>
    </row>
    <row r="356">
      <c r="I356" s="54"/>
    </row>
    <row r="357">
      <c r="I357" s="54"/>
    </row>
    <row r="358">
      <c r="I358" s="54"/>
    </row>
    <row r="359">
      <c r="I359" s="54"/>
    </row>
    <row r="360">
      <c r="I360" s="54"/>
    </row>
    <row r="361">
      <c r="I361" s="54"/>
    </row>
    <row r="362">
      <c r="I362" s="54"/>
    </row>
    <row r="363">
      <c r="I363" s="54"/>
    </row>
    <row r="364">
      <c r="I364" s="54"/>
    </row>
    <row r="365">
      <c r="I365" s="54"/>
    </row>
    <row r="366">
      <c r="I366" s="54"/>
    </row>
    <row r="367">
      <c r="I367" s="54"/>
    </row>
    <row r="368">
      <c r="I368" s="54"/>
    </row>
    <row r="369">
      <c r="I369" s="54"/>
    </row>
    <row r="370">
      <c r="I370" s="54"/>
    </row>
    <row r="371">
      <c r="I371" s="54"/>
    </row>
    <row r="372">
      <c r="I372" s="54"/>
    </row>
    <row r="373">
      <c r="I373" s="54"/>
    </row>
    <row r="374">
      <c r="I374" s="54"/>
    </row>
    <row r="375">
      <c r="I375" s="54"/>
    </row>
    <row r="376">
      <c r="I376" s="54"/>
    </row>
    <row r="377">
      <c r="I377" s="54"/>
    </row>
    <row r="378">
      <c r="I378" s="54"/>
    </row>
    <row r="379">
      <c r="I379" s="54"/>
    </row>
    <row r="380">
      <c r="I380" s="54"/>
    </row>
    <row r="381">
      <c r="I381" s="54"/>
    </row>
    <row r="382">
      <c r="I382" s="54"/>
    </row>
    <row r="383">
      <c r="I383" s="54"/>
    </row>
    <row r="384">
      <c r="I384" s="54"/>
    </row>
    <row r="385">
      <c r="I385" s="54"/>
    </row>
    <row r="386">
      <c r="I386" s="54"/>
    </row>
    <row r="387">
      <c r="I387" s="54"/>
    </row>
    <row r="388">
      <c r="I388" s="54"/>
    </row>
    <row r="389">
      <c r="I389" s="54"/>
    </row>
    <row r="390">
      <c r="I390" s="54"/>
    </row>
    <row r="391">
      <c r="I391" s="54"/>
    </row>
    <row r="392">
      <c r="I392" s="54"/>
    </row>
    <row r="393">
      <c r="I393" s="54"/>
    </row>
    <row r="394">
      <c r="I394" s="54"/>
    </row>
    <row r="395">
      <c r="I395" s="54"/>
    </row>
    <row r="396">
      <c r="I396" s="54"/>
    </row>
    <row r="397">
      <c r="I397" s="54"/>
    </row>
    <row r="398">
      <c r="I398" s="54"/>
    </row>
    <row r="399">
      <c r="I399" s="54"/>
    </row>
    <row r="400">
      <c r="I400" s="54"/>
    </row>
    <row r="401">
      <c r="I401" s="54"/>
    </row>
    <row r="402">
      <c r="I402" s="54"/>
    </row>
    <row r="403">
      <c r="I403" s="54"/>
    </row>
    <row r="404">
      <c r="I404" s="54"/>
    </row>
    <row r="405">
      <c r="I405" s="54"/>
    </row>
    <row r="406">
      <c r="I406" s="54"/>
    </row>
    <row r="407">
      <c r="I407" s="54"/>
    </row>
    <row r="408">
      <c r="I408" s="54"/>
    </row>
    <row r="409">
      <c r="I409" s="54"/>
    </row>
    <row r="410">
      <c r="I410" s="54"/>
    </row>
    <row r="411">
      <c r="I411" s="54"/>
    </row>
    <row r="412">
      <c r="I412" s="54"/>
    </row>
    <row r="413">
      <c r="I413" s="54"/>
    </row>
    <row r="414">
      <c r="I414" s="54"/>
    </row>
    <row r="415">
      <c r="I415" s="54"/>
    </row>
    <row r="416">
      <c r="I416" s="54"/>
    </row>
    <row r="417">
      <c r="I417" s="54"/>
    </row>
    <row r="418">
      <c r="I418" s="54"/>
    </row>
    <row r="419">
      <c r="I419" s="54"/>
    </row>
    <row r="420">
      <c r="I420" s="54"/>
    </row>
    <row r="421">
      <c r="I421" s="54"/>
    </row>
    <row r="422">
      <c r="I422" s="54"/>
    </row>
    <row r="423">
      <c r="I423" s="54"/>
    </row>
    <row r="424">
      <c r="I424" s="54"/>
    </row>
    <row r="425">
      <c r="I425" s="54"/>
    </row>
    <row r="426">
      <c r="I426" s="54"/>
    </row>
    <row r="427">
      <c r="I427" s="54"/>
    </row>
    <row r="428">
      <c r="I428" s="54"/>
    </row>
    <row r="429">
      <c r="I429" s="54"/>
    </row>
    <row r="430">
      <c r="I430" s="54"/>
    </row>
    <row r="431">
      <c r="I431" s="54"/>
    </row>
    <row r="432">
      <c r="I432" s="54"/>
    </row>
    <row r="433">
      <c r="I433" s="54"/>
    </row>
    <row r="434">
      <c r="I434" s="54"/>
    </row>
    <row r="435">
      <c r="I435" s="54"/>
    </row>
    <row r="436">
      <c r="I436" s="54"/>
    </row>
    <row r="437">
      <c r="I437" s="54"/>
    </row>
    <row r="438">
      <c r="I438" s="54"/>
    </row>
    <row r="439">
      <c r="I439" s="54"/>
    </row>
    <row r="440">
      <c r="I440" s="54"/>
    </row>
    <row r="441">
      <c r="I441" s="54"/>
    </row>
    <row r="442">
      <c r="I442" s="54"/>
    </row>
    <row r="443">
      <c r="I443" s="54"/>
    </row>
    <row r="444">
      <c r="I444" s="54"/>
    </row>
    <row r="445">
      <c r="I445" s="54"/>
    </row>
    <row r="446">
      <c r="I446" s="54"/>
    </row>
    <row r="447">
      <c r="I447" s="54"/>
    </row>
    <row r="448">
      <c r="I448" s="54"/>
    </row>
    <row r="449">
      <c r="I449" s="54"/>
    </row>
    <row r="450">
      <c r="I450" s="54"/>
    </row>
    <row r="451">
      <c r="I451" s="54"/>
    </row>
    <row r="452">
      <c r="I452" s="54"/>
    </row>
    <row r="453">
      <c r="I453" s="54"/>
    </row>
    <row r="454">
      <c r="I454" s="54"/>
    </row>
    <row r="455">
      <c r="I455" s="54"/>
    </row>
    <row r="456">
      <c r="I456" s="54"/>
    </row>
    <row r="457">
      <c r="I457" s="54"/>
    </row>
    <row r="458">
      <c r="I458" s="54"/>
    </row>
    <row r="459">
      <c r="I459" s="54"/>
    </row>
    <row r="460">
      <c r="I460" s="54"/>
    </row>
    <row r="461">
      <c r="I461" s="54"/>
    </row>
    <row r="462">
      <c r="I462" s="54"/>
    </row>
    <row r="463">
      <c r="I463" s="54"/>
    </row>
    <row r="464">
      <c r="I464" s="54"/>
    </row>
    <row r="465">
      <c r="I465" s="54"/>
    </row>
    <row r="466">
      <c r="I466" s="54"/>
    </row>
    <row r="467">
      <c r="I467" s="54"/>
    </row>
    <row r="468">
      <c r="I468" s="54"/>
    </row>
    <row r="469">
      <c r="I469" s="54"/>
    </row>
    <row r="470">
      <c r="I470" s="54"/>
    </row>
    <row r="471">
      <c r="I471" s="54"/>
    </row>
    <row r="472">
      <c r="I472" s="54"/>
    </row>
    <row r="473">
      <c r="I473" s="54"/>
    </row>
    <row r="474">
      <c r="I474" s="54"/>
    </row>
    <row r="475">
      <c r="I475" s="54"/>
    </row>
    <row r="476">
      <c r="I476" s="54"/>
    </row>
    <row r="477">
      <c r="I477" s="54"/>
    </row>
    <row r="478">
      <c r="I478" s="54"/>
    </row>
    <row r="479">
      <c r="I479" s="54"/>
    </row>
    <row r="480">
      <c r="I480" s="54"/>
    </row>
    <row r="481">
      <c r="I481" s="54"/>
    </row>
    <row r="482">
      <c r="I482" s="54"/>
    </row>
    <row r="483">
      <c r="I483" s="54"/>
    </row>
    <row r="484">
      <c r="I484" s="54"/>
    </row>
    <row r="485">
      <c r="I485" s="54"/>
    </row>
    <row r="486">
      <c r="I486" s="54"/>
    </row>
    <row r="487">
      <c r="I487" s="54"/>
    </row>
    <row r="488">
      <c r="I488" s="54"/>
    </row>
    <row r="489">
      <c r="I489" s="54"/>
    </row>
    <row r="490">
      <c r="I490" s="54"/>
    </row>
    <row r="491">
      <c r="I491" s="54"/>
    </row>
    <row r="492">
      <c r="I492" s="54"/>
    </row>
    <row r="493">
      <c r="I493" s="54"/>
    </row>
    <row r="494">
      <c r="I494" s="54"/>
    </row>
    <row r="495">
      <c r="I495" s="54"/>
    </row>
    <row r="496">
      <c r="I496" s="54"/>
    </row>
    <row r="497">
      <c r="I497" s="54"/>
    </row>
    <row r="498">
      <c r="I498" s="54"/>
    </row>
    <row r="499">
      <c r="I499" s="54"/>
    </row>
    <row r="500">
      <c r="I500" s="54"/>
    </row>
    <row r="501">
      <c r="I501" s="54"/>
    </row>
    <row r="502">
      <c r="I502" s="54"/>
    </row>
    <row r="503">
      <c r="I503" s="54"/>
    </row>
    <row r="504">
      <c r="I504" s="54"/>
    </row>
    <row r="505">
      <c r="I505" s="54"/>
    </row>
    <row r="506">
      <c r="I506" s="54"/>
    </row>
    <row r="507">
      <c r="I507" s="54"/>
    </row>
    <row r="508">
      <c r="I508" s="54"/>
    </row>
    <row r="509">
      <c r="I509" s="54"/>
    </row>
    <row r="510">
      <c r="I510" s="54"/>
    </row>
    <row r="511">
      <c r="I511" s="54"/>
    </row>
    <row r="512">
      <c r="I512" s="54"/>
    </row>
    <row r="513">
      <c r="I513" s="54"/>
    </row>
    <row r="514">
      <c r="I514" s="54"/>
    </row>
    <row r="515">
      <c r="I515" s="54"/>
    </row>
    <row r="516">
      <c r="I516" s="54"/>
    </row>
    <row r="517">
      <c r="I517" s="54"/>
    </row>
    <row r="518">
      <c r="I518" s="54"/>
    </row>
    <row r="519">
      <c r="I519" s="54"/>
    </row>
    <row r="520">
      <c r="I520" s="54"/>
    </row>
    <row r="521">
      <c r="I521" s="54"/>
    </row>
    <row r="522">
      <c r="I522" s="54"/>
    </row>
    <row r="523">
      <c r="I523" s="54"/>
    </row>
    <row r="524">
      <c r="I524" s="54"/>
    </row>
    <row r="525">
      <c r="I525" s="54"/>
    </row>
    <row r="526">
      <c r="I526" s="54"/>
    </row>
    <row r="527">
      <c r="I527" s="54"/>
    </row>
    <row r="528">
      <c r="I528" s="54"/>
    </row>
    <row r="529">
      <c r="I529" s="54"/>
    </row>
    <row r="530">
      <c r="I530" s="54"/>
    </row>
    <row r="531">
      <c r="I531" s="54"/>
    </row>
    <row r="532">
      <c r="I532" s="54"/>
    </row>
    <row r="533">
      <c r="I533" s="54"/>
    </row>
    <row r="534">
      <c r="I534" s="54"/>
    </row>
    <row r="535">
      <c r="I535" s="54"/>
    </row>
    <row r="536">
      <c r="I536" s="54"/>
    </row>
    <row r="537">
      <c r="I537" s="54"/>
    </row>
    <row r="538">
      <c r="I538" s="54"/>
    </row>
    <row r="539">
      <c r="I539" s="54"/>
    </row>
    <row r="540">
      <c r="I540" s="54"/>
    </row>
    <row r="541">
      <c r="I541" s="54"/>
    </row>
    <row r="542">
      <c r="I542" s="54"/>
    </row>
    <row r="543">
      <c r="I543" s="54"/>
    </row>
    <row r="544">
      <c r="I544" s="54"/>
    </row>
    <row r="545">
      <c r="I545" s="54"/>
    </row>
    <row r="546">
      <c r="I546" s="54"/>
    </row>
    <row r="547">
      <c r="I547" s="54"/>
    </row>
    <row r="548">
      <c r="I548" s="54"/>
    </row>
    <row r="549">
      <c r="I549" s="54"/>
    </row>
    <row r="550">
      <c r="I550" s="54"/>
    </row>
    <row r="551">
      <c r="I551" s="54"/>
    </row>
    <row r="552">
      <c r="I552" s="54"/>
    </row>
    <row r="553">
      <c r="I553" s="54"/>
    </row>
    <row r="554">
      <c r="I554" s="54"/>
    </row>
    <row r="555">
      <c r="I555" s="54"/>
    </row>
    <row r="556">
      <c r="I556" s="54"/>
    </row>
    <row r="557">
      <c r="I557" s="54"/>
    </row>
    <row r="558">
      <c r="I558" s="54"/>
    </row>
    <row r="559">
      <c r="I559" s="54"/>
    </row>
    <row r="560">
      <c r="I560" s="54"/>
    </row>
    <row r="561">
      <c r="I561" s="54"/>
    </row>
    <row r="562">
      <c r="I562" s="54"/>
    </row>
    <row r="563">
      <c r="I563" s="54"/>
    </row>
    <row r="564">
      <c r="I564" s="54"/>
    </row>
    <row r="565">
      <c r="I565" s="54"/>
    </row>
    <row r="566">
      <c r="I566" s="54"/>
    </row>
    <row r="567">
      <c r="I567" s="54"/>
    </row>
    <row r="568">
      <c r="I568" s="54"/>
    </row>
    <row r="569">
      <c r="I569" s="54"/>
    </row>
    <row r="570">
      <c r="I570" s="54"/>
    </row>
    <row r="571">
      <c r="I571" s="54"/>
    </row>
    <row r="572">
      <c r="I572" s="54"/>
    </row>
    <row r="573">
      <c r="I573" s="54"/>
    </row>
    <row r="574">
      <c r="I574" s="54"/>
    </row>
    <row r="575">
      <c r="I575" s="54"/>
    </row>
    <row r="576">
      <c r="I576" s="54"/>
    </row>
    <row r="577">
      <c r="I577" s="54"/>
    </row>
    <row r="578">
      <c r="I578" s="54"/>
    </row>
    <row r="579">
      <c r="I579" s="54"/>
    </row>
    <row r="580">
      <c r="I580" s="54"/>
    </row>
    <row r="581">
      <c r="I581" s="54"/>
    </row>
    <row r="582">
      <c r="I582" s="54"/>
    </row>
    <row r="583">
      <c r="I583" s="54"/>
    </row>
    <row r="584">
      <c r="I584" s="54"/>
    </row>
    <row r="585">
      <c r="I585" s="54"/>
    </row>
    <row r="586">
      <c r="I586" s="54"/>
    </row>
    <row r="587">
      <c r="I587" s="54"/>
    </row>
    <row r="588">
      <c r="I588" s="54"/>
    </row>
    <row r="589">
      <c r="I589" s="54"/>
    </row>
    <row r="590">
      <c r="I590" s="54"/>
    </row>
    <row r="591">
      <c r="I591" s="54"/>
    </row>
    <row r="592">
      <c r="I592" s="54"/>
    </row>
    <row r="593">
      <c r="I593" s="54"/>
    </row>
    <row r="594">
      <c r="I594" s="54"/>
    </row>
    <row r="595">
      <c r="I595" s="54"/>
    </row>
    <row r="596">
      <c r="I596" s="54"/>
    </row>
    <row r="597">
      <c r="I597" s="54"/>
    </row>
    <row r="598">
      <c r="I598" s="54"/>
    </row>
    <row r="599">
      <c r="I599" s="54"/>
    </row>
    <row r="600">
      <c r="I600" s="54"/>
    </row>
    <row r="601">
      <c r="I601" s="54"/>
    </row>
    <row r="602">
      <c r="I602" s="54"/>
    </row>
    <row r="603">
      <c r="I603" s="54"/>
    </row>
    <row r="604">
      <c r="I604" s="54"/>
    </row>
    <row r="605">
      <c r="I605" s="54"/>
    </row>
    <row r="606">
      <c r="I606" s="54"/>
    </row>
    <row r="607">
      <c r="I607" s="54"/>
    </row>
    <row r="608">
      <c r="I608" s="54"/>
    </row>
    <row r="609">
      <c r="I609" s="54"/>
    </row>
    <row r="610">
      <c r="I610" s="54"/>
    </row>
    <row r="611">
      <c r="I611" s="54"/>
    </row>
    <row r="612">
      <c r="I612" s="54"/>
    </row>
    <row r="613">
      <c r="I613" s="54"/>
    </row>
    <row r="614">
      <c r="I614" s="54"/>
    </row>
    <row r="615">
      <c r="I615" s="54"/>
    </row>
    <row r="616">
      <c r="I616" s="54"/>
    </row>
    <row r="617">
      <c r="I617" s="54"/>
    </row>
    <row r="618">
      <c r="I618" s="54"/>
    </row>
    <row r="619">
      <c r="I619" s="54"/>
    </row>
    <row r="620">
      <c r="I620" s="54"/>
    </row>
    <row r="621">
      <c r="I621" s="54"/>
    </row>
    <row r="622">
      <c r="I622" s="54"/>
    </row>
    <row r="623">
      <c r="I623" s="54"/>
    </row>
    <row r="624">
      <c r="I624" s="54"/>
    </row>
    <row r="625">
      <c r="I625" s="54"/>
    </row>
    <row r="626">
      <c r="I626" s="54"/>
    </row>
    <row r="627">
      <c r="I627" s="54"/>
    </row>
    <row r="628">
      <c r="I628" s="54"/>
    </row>
    <row r="629">
      <c r="I629" s="54"/>
    </row>
    <row r="630">
      <c r="I630" s="54"/>
    </row>
    <row r="631">
      <c r="I631" s="54"/>
    </row>
    <row r="632">
      <c r="I632" s="54"/>
    </row>
    <row r="633">
      <c r="I633" s="54"/>
    </row>
    <row r="634">
      <c r="I634" s="54"/>
    </row>
    <row r="635">
      <c r="I635" s="54"/>
    </row>
    <row r="636">
      <c r="I636" s="54"/>
    </row>
    <row r="637">
      <c r="I637" s="54"/>
    </row>
    <row r="638">
      <c r="I638" s="54"/>
    </row>
    <row r="639">
      <c r="I639" s="54"/>
    </row>
    <row r="640">
      <c r="I640" s="54"/>
    </row>
    <row r="641">
      <c r="I641" s="54"/>
    </row>
    <row r="642">
      <c r="I642" s="54"/>
    </row>
    <row r="643">
      <c r="I643" s="54"/>
    </row>
    <row r="644">
      <c r="I644" s="54"/>
    </row>
    <row r="645">
      <c r="I645" s="54"/>
    </row>
    <row r="646">
      <c r="I646" s="54"/>
    </row>
    <row r="647">
      <c r="I647" s="54"/>
    </row>
    <row r="648">
      <c r="I648" s="54"/>
    </row>
    <row r="649">
      <c r="I649" s="54"/>
    </row>
    <row r="650">
      <c r="I650" s="54"/>
    </row>
    <row r="651">
      <c r="I651" s="54"/>
    </row>
    <row r="652">
      <c r="I652" s="54"/>
    </row>
    <row r="653">
      <c r="I653" s="54"/>
    </row>
    <row r="654">
      <c r="I654" s="54"/>
    </row>
    <row r="655">
      <c r="I655" s="54"/>
    </row>
    <row r="656">
      <c r="I656" s="54"/>
    </row>
    <row r="657">
      <c r="I657" s="54"/>
    </row>
    <row r="658">
      <c r="I658" s="54"/>
    </row>
    <row r="659">
      <c r="I659" s="54"/>
    </row>
    <row r="660">
      <c r="I660" s="54"/>
    </row>
    <row r="661">
      <c r="I661" s="54"/>
    </row>
    <row r="662">
      <c r="I662" s="54"/>
    </row>
    <row r="663">
      <c r="I663" s="54"/>
    </row>
    <row r="664">
      <c r="I664" s="54"/>
    </row>
    <row r="665">
      <c r="I665" s="54"/>
    </row>
    <row r="666">
      <c r="I666" s="54"/>
    </row>
    <row r="667">
      <c r="I667" s="54"/>
    </row>
    <row r="668">
      <c r="I668" s="54"/>
    </row>
    <row r="669">
      <c r="I669" s="54"/>
    </row>
    <row r="670">
      <c r="I670" s="54"/>
    </row>
    <row r="671">
      <c r="I671" s="54"/>
    </row>
    <row r="672">
      <c r="I672" s="54"/>
    </row>
    <row r="673">
      <c r="I673" s="54"/>
    </row>
    <row r="674">
      <c r="I674" s="54"/>
    </row>
    <row r="675">
      <c r="I675" s="54"/>
    </row>
    <row r="676">
      <c r="I676" s="54"/>
    </row>
    <row r="677">
      <c r="I677" s="54"/>
    </row>
    <row r="678">
      <c r="I678" s="54"/>
    </row>
    <row r="679">
      <c r="I679" s="54"/>
    </row>
    <row r="680">
      <c r="I680" s="54"/>
    </row>
    <row r="681">
      <c r="I681" s="54"/>
    </row>
    <row r="682">
      <c r="I682" s="54"/>
    </row>
    <row r="683">
      <c r="I683" s="54"/>
    </row>
    <row r="684">
      <c r="I684" s="54"/>
    </row>
    <row r="685">
      <c r="I685" s="54"/>
    </row>
    <row r="686">
      <c r="I686" s="54"/>
    </row>
    <row r="687">
      <c r="I687" s="54"/>
    </row>
    <row r="688">
      <c r="I688" s="54"/>
    </row>
    <row r="689">
      <c r="I689" s="54"/>
    </row>
    <row r="690">
      <c r="I690" s="54"/>
    </row>
    <row r="691">
      <c r="I691" s="54"/>
    </row>
    <row r="692">
      <c r="I692" s="54"/>
    </row>
    <row r="693">
      <c r="I693" s="54"/>
    </row>
    <row r="694">
      <c r="I694" s="54"/>
    </row>
    <row r="695">
      <c r="I695" s="54"/>
    </row>
    <row r="696">
      <c r="I696" s="54"/>
    </row>
    <row r="697">
      <c r="I697" s="54"/>
    </row>
    <row r="698">
      <c r="I698" s="54"/>
    </row>
    <row r="699">
      <c r="I699" s="54"/>
    </row>
    <row r="700">
      <c r="I700" s="54"/>
    </row>
    <row r="701">
      <c r="I701" s="54"/>
    </row>
    <row r="702">
      <c r="I702" s="54"/>
    </row>
    <row r="703">
      <c r="I703" s="54"/>
    </row>
    <row r="704">
      <c r="I704" s="54"/>
    </row>
    <row r="705">
      <c r="I705" s="54"/>
    </row>
    <row r="706">
      <c r="I706" s="54"/>
    </row>
    <row r="707">
      <c r="I707" s="54"/>
    </row>
    <row r="708">
      <c r="I708" s="54"/>
    </row>
    <row r="709">
      <c r="I709" s="54"/>
    </row>
    <row r="710">
      <c r="I710" s="54"/>
    </row>
    <row r="711">
      <c r="I711" s="54"/>
    </row>
    <row r="712">
      <c r="I712" s="54"/>
    </row>
    <row r="713">
      <c r="I713" s="54"/>
    </row>
    <row r="714">
      <c r="I714" s="54"/>
    </row>
    <row r="715">
      <c r="I715" s="54"/>
    </row>
    <row r="716">
      <c r="I716" s="54"/>
    </row>
    <row r="717">
      <c r="I717" s="54"/>
    </row>
    <row r="718">
      <c r="I718" s="54"/>
    </row>
    <row r="719">
      <c r="I719" s="54"/>
    </row>
    <row r="720">
      <c r="I720" s="54"/>
    </row>
    <row r="721">
      <c r="I721" s="54"/>
    </row>
    <row r="722">
      <c r="I722" s="54"/>
    </row>
    <row r="723">
      <c r="I723" s="54"/>
    </row>
    <row r="724">
      <c r="I724" s="54"/>
    </row>
    <row r="725">
      <c r="I725" s="54"/>
    </row>
    <row r="726">
      <c r="I726" s="54"/>
    </row>
    <row r="727">
      <c r="I727" s="54"/>
    </row>
    <row r="728">
      <c r="I728" s="54"/>
    </row>
    <row r="729">
      <c r="I729" s="54"/>
    </row>
    <row r="730">
      <c r="I730" s="54"/>
    </row>
    <row r="731">
      <c r="I731" s="54"/>
    </row>
    <row r="732">
      <c r="I732" s="54"/>
    </row>
    <row r="733">
      <c r="I733" s="54"/>
    </row>
    <row r="734">
      <c r="I734" s="54"/>
    </row>
    <row r="735">
      <c r="I735" s="54"/>
    </row>
    <row r="736">
      <c r="I736" s="54"/>
    </row>
    <row r="737">
      <c r="I737" s="54"/>
    </row>
    <row r="738">
      <c r="I738" s="54"/>
    </row>
    <row r="739">
      <c r="I739" s="54"/>
    </row>
    <row r="740">
      <c r="I740" s="54"/>
    </row>
    <row r="741">
      <c r="I741" s="54"/>
    </row>
    <row r="742">
      <c r="I742" s="54"/>
    </row>
    <row r="743">
      <c r="I743" s="54"/>
    </row>
    <row r="744">
      <c r="I744" s="54"/>
    </row>
    <row r="745">
      <c r="I745" s="54"/>
    </row>
    <row r="746">
      <c r="I746" s="54"/>
    </row>
    <row r="747">
      <c r="I747" s="54"/>
    </row>
    <row r="748">
      <c r="I748" s="54"/>
    </row>
    <row r="749">
      <c r="I749" s="54"/>
    </row>
    <row r="750">
      <c r="I750" s="54"/>
    </row>
    <row r="751">
      <c r="I751" s="54"/>
    </row>
    <row r="752">
      <c r="I752" s="54"/>
    </row>
    <row r="753">
      <c r="I753" s="54"/>
    </row>
    <row r="754">
      <c r="I754" s="54"/>
    </row>
    <row r="755">
      <c r="I755" s="54"/>
    </row>
    <row r="756">
      <c r="I756" s="54"/>
    </row>
    <row r="757">
      <c r="I757" s="54"/>
    </row>
    <row r="758">
      <c r="I758" s="54"/>
    </row>
    <row r="759">
      <c r="I759" s="54"/>
    </row>
    <row r="760">
      <c r="I760" s="54"/>
    </row>
    <row r="761">
      <c r="I761" s="54"/>
    </row>
    <row r="762">
      <c r="I762" s="54"/>
    </row>
    <row r="763">
      <c r="I763" s="54"/>
    </row>
    <row r="764">
      <c r="I764" s="54"/>
    </row>
    <row r="765">
      <c r="I765" s="54"/>
    </row>
    <row r="766">
      <c r="I766" s="54"/>
    </row>
    <row r="767">
      <c r="I767" s="54"/>
    </row>
    <row r="768">
      <c r="I768" s="54"/>
    </row>
    <row r="769">
      <c r="I769" s="54"/>
    </row>
    <row r="770">
      <c r="I770" s="54"/>
    </row>
    <row r="771">
      <c r="I771" s="54"/>
    </row>
    <row r="772">
      <c r="I772" s="54"/>
    </row>
    <row r="773">
      <c r="I773" s="54"/>
    </row>
    <row r="774">
      <c r="I774" s="54"/>
    </row>
    <row r="775">
      <c r="I775" s="54"/>
    </row>
    <row r="776">
      <c r="I776" s="54"/>
    </row>
    <row r="777">
      <c r="I777" s="54"/>
    </row>
    <row r="778">
      <c r="I778" s="54"/>
    </row>
    <row r="779">
      <c r="I779" s="54"/>
    </row>
    <row r="780">
      <c r="I780" s="54"/>
    </row>
    <row r="781">
      <c r="I781" s="54"/>
    </row>
    <row r="782">
      <c r="I782" s="54"/>
    </row>
    <row r="783">
      <c r="I783" s="54"/>
    </row>
    <row r="784">
      <c r="I784" s="54"/>
    </row>
    <row r="785">
      <c r="I785" s="54"/>
    </row>
    <row r="786">
      <c r="I786" s="54"/>
    </row>
    <row r="787">
      <c r="I787" s="54"/>
    </row>
    <row r="788">
      <c r="I788" s="54"/>
    </row>
    <row r="789">
      <c r="I789" s="54"/>
    </row>
    <row r="790">
      <c r="I790" s="54"/>
    </row>
    <row r="791">
      <c r="I791" s="54"/>
    </row>
    <row r="792">
      <c r="I792" s="54"/>
    </row>
    <row r="793">
      <c r="I793" s="54"/>
    </row>
    <row r="794">
      <c r="I794" s="54"/>
    </row>
    <row r="795">
      <c r="I795" s="54"/>
    </row>
    <row r="796">
      <c r="I796" s="54"/>
    </row>
    <row r="797">
      <c r="I797" s="54"/>
    </row>
    <row r="798">
      <c r="I798" s="54"/>
    </row>
    <row r="799">
      <c r="I799" s="54"/>
    </row>
    <row r="800">
      <c r="I800" s="54"/>
    </row>
    <row r="801">
      <c r="I801" s="54"/>
    </row>
    <row r="802">
      <c r="I802" s="54"/>
    </row>
    <row r="803">
      <c r="I803" s="54"/>
    </row>
    <row r="804">
      <c r="I804" s="54"/>
    </row>
    <row r="805">
      <c r="I805" s="54"/>
    </row>
    <row r="806">
      <c r="I806" s="54"/>
    </row>
    <row r="807">
      <c r="I807" s="54"/>
    </row>
    <row r="808">
      <c r="I808" s="54"/>
    </row>
    <row r="809">
      <c r="I809" s="54"/>
    </row>
    <row r="810">
      <c r="I810" s="54"/>
    </row>
    <row r="811">
      <c r="I811" s="54"/>
    </row>
    <row r="812">
      <c r="I812" s="54"/>
    </row>
    <row r="813">
      <c r="I813" s="54"/>
    </row>
    <row r="814">
      <c r="I814" s="54"/>
    </row>
    <row r="815">
      <c r="I815" s="54"/>
    </row>
    <row r="816">
      <c r="I816" s="54"/>
    </row>
    <row r="817">
      <c r="I817" s="54"/>
    </row>
    <row r="818">
      <c r="I818" s="54"/>
    </row>
    <row r="819">
      <c r="I819" s="54"/>
    </row>
    <row r="820">
      <c r="I820" s="54"/>
    </row>
    <row r="821">
      <c r="I821" s="54"/>
    </row>
    <row r="822">
      <c r="I822" s="54"/>
    </row>
    <row r="823">
      <c r="I823" s="54"/>
    </row>
    <row r="824">
      <c r="I824" s="54"/>
    </row>
    <row r="825">
      <c r="I825" s="54"/>
    </row>
    <row r="826">
      <c r="I826" s="54"/>
    </row>
    <row r="827">
      <c r="I827" s="54"/>
    </row>
    <row r="828">
      <c r="I828" s="54"/>
    </row>
    <row r="829">
      <c r="I829" s="54"/>
    </row>
    <row r="830">
      <c r="I830" s="54"/>
    </row>
    <row r="831">
      <c r="I831" s="54"/>
    </row>
    <row r="832">
      <c r="I832" s="54"/>
    </row>
    <row r="833">
      <c r="I833" s="54"/>
    </row>
    <row r="834">
      <c r="I834" s="54"/>
    </row>
    <row r="835">
      <c r="I835" s="54"/>
    </row>
    <row r="836">
      <c r="I836" s="54"/>
    </row>
    <row r="837">
      <c r="I837" s="54"/>
    </row>
    <row r="838">
      <c r="I838" s="54"/>
    </row>
    <row r="839">
      <c r="I839" s="54"/>
    </row>
    <row r="840">
      <c r="I840" s="54"/>
    </row>
    <row r="841">
      <c r="I841" s="54"/>
    </row>
    <row r="842">
      <c r="I842" s="54"/>
    </row>
    <row r="843">
      <c r="I843" s="54"/>
    </row>
    <row r="844">
      <c r="I844" s="54"/>
    </row>
    <row r="845">
      <c r="I845" s="54"/>
    </row>
    <row r="846">
      <c r="I846" s="54"/>
    </row>
    <row r="847">
      <c r="I847" s="54"/>
    </row>
    <row r="848">
      <c r="I848" s="54"/>
    </row>
    <row r="849">
      <c r="I849" s="54"/>
    </row>
    <row r="850">
      <c r="I850" s="54"/>
    </row>
    <row r="851">
      <c r="I851" s="54"/>
    </row>
    <row r="852">
      <c r="I852" s="54"/>
    </row>
    <row r="853">
      <c r="I853" s="54"/>
    </row>
    <row r="854">
      <c r="I854" s="54"/>
    </row>
    <row r="855">
      <c r="I855" s="54"/>
    </row>
    <row r="856">
      <c r="I856" s="54"/>
    </row>
    <row r="857">
      <c r="I857" s="54"/>
    </row>
    <row r="858">
      <c r="I858" s="54"/>
    </row>
    <row r="859">
      <c r="I859" s="54"/>
    </row>
    <row r="860">
      <c r="I860" s="54"/>
    </row>
    <row r="861">
      <c r="I861" s="54"/>
    </row>
    <row r="862">
      <c r="I862" s="54"/>
    </row>
    <row r="863">
      <c r="I863" s="54"/>
    </row>
    <row r="864">
      <c r="I864" s="54"/>
    </row>
    <row r="865">
      <c r="I865" s="54"/>
    </row>
    <row r="866">
      <c r="I866" s="54"/>
    </row>
    <row r="867">
      <c r="I867" s="54"/>
    </row>
    <row r="868">
      <c r="I868" s="54"/>
    </row>
    <row r="869">
      <c r="I869" s="54"/>
    </row>
    <row r="870">
      <c r="I870" s="54"/>
    </row>
    <row r="871">
      <c r="I871" s="54"/>
    </row>
    <row r="872">
      <c r="I872" s="54"/>
    </row>
    <row r="873">
      <c r="I873" s="54"/>
    </row>
    <row r="874">
      <c r="I874" s="54"/>
    </row>
    <row r="875">
      <c r="I875" s="54"/>
    </row>
    <row r="876">
      <c r="I876" s="54"/>
    </row>
    <row r="877">
      <c r="I877" s="54"/>
    </row>
    <row r="878">
      <c r="I878" s="54"/>
    </row>
    <row r="879">
      <c r="I879" s="54"/>
    </row>
    <row r="880">
      <c r="I880" s="54"/>
    </row>
    <row r="881">
      <c r="I881" s="54"/>
    </row>
    <row r="882">
      <c r="I882" s="54"/>
    </row>
    <row r="883">
      <c r="I883" s="54"/>
    </row>
    <row r="884">
      <c r="I884" s="54"/>
    </row>
    <row r="885">
      <c r="I885" s="54"/>
    </row>
    <row r="886">
      <c r="I886" s="54"/>
    </row>
    <row r="887">
      <c r="I887" s="54"/>
    </row>
    <row r="888">
      <c r="I888" s="54"/>
    </row>
    <row r="889">
      <c r="I889" s="54"/>
    </row>
    <row r="890">
      <c r="I890" s="54"/>
    </row>
    <row r="891">
      <c r="I891" s="54"/>
    </row>
    <row r="892">
      <c r="I892" s="54"/>
    </row>
    <row r="893">
      <c r="I893" s="54"/>
    </row>
    <row r="894">
      <c r="I894" s="54"/>
    </row>
    <row r="895">
      <c r="I895" s="54"/>
    </row>
    <row r="896">
      <c r="I896" s="54"/>
    </row>
    <row r="897">
      <c r="I897" s="54"/>
    </row>
    <row r="898">
      <c r="I898" s="54"/>
    </row>
    <row r="899">
      <c r="I899" s="54"/>
    </row>
    <row r="900">
      <c r="I900" s="54"/>
    </row>
    <row r="901">
      <c r="I901" s="54"/>
    </row>
    <row r="902">
      <c r="I902" s="54"/>
    </row>
    <row r="903">
      <c r="I903" s="54"/>
    </row>
    <row r="904">
      <c r="I904" s="54"/>
    </row>
    <row r="905">
      <c r="I905" s="54"/>
    </row>
    <row r="906">
      <c r="I906" s="54"/>
    </row>
    <row r="907">
      <c r="I907" s="54"/>
    </row>
    <row r="908">
      <c r="I908" s="54"/>
    </row>
    <row r="909">
      <c r="I909" s="54"/>
    </row>
    <row r="910">
      <c r="I910" s="54"/>
    </row>
    <row r="911">
      <c r="I911" s="54"/>
    </row>
    <row r="912">
      <c r="I912" s="54"/>
    </row>
    <row r="913">
      <c r="I913" s="54"/>
    </row>
    <row r="914">
      <c r="I914" s="54"/>
    </row>
    <row r="915">
      <c r="I915" s="54"/>
    </row>
    <row r="916">
      <c r="I916" s="54"/>
    </row>
    <row r="917">
      <c r="I917" s="54"/>
    </row>
    <row r="918">
      <c r="I918" s="54"/>
    </row>
    <row r="919">
      <c r="I919" s="54"/>
    </row>
    <row r="920">
      <c r="I920" s="54"/>
    </row>
    <row r="921">
      <c r="I921" s="54"/>
    </row>
    <row r="922">
      <c r="I922" s="54"/>
    </row>
    <row r="923">
      <c r="I923" s="54"/>
    </row>
    <row r="924">
      <c r="I924" s="54"/>
    </row>
    <row r="925">
      <c r="I925" s="54"/>
    </row>
    <row r="926">
      <c r="I926" s="54"/>
    </row>
    <row r="927">
      <c r="I927" s="54"/>
    </row>
    <row r="928">
      <c r="I928" s="54"/>
    </row>
    <row r="929">
      <c r="I929" s="54"/>
    </row>
    <row r="930">
      <c r="I930" s="54"/>
    </row>
    <row r="931">
      <c r="I931" s="54"/>
    </row>
    <row r="932">
      <c r="I932" s="54"/>
    </row>
    <row r="933">
      <c r="I933" s="54"/>
    </row>
    <row r="934">
      <c r="I934" s="54"/>
    </row>
    <row r="935">
      <c r="I935" s="54"/>
    </row>
    <row r="936">
      <c r="I936" s="54"/>
    </row>
    <row r="937">
      <c r="I937" s="54"/>
    </row>
    <row r="938">
      <c r="I938" s="54"/>
    </row>
    <row r="939">
      <c r="I939" s="54"/>
    </row>
    <row r="940">
      <c r="I940" s="54"/>
    </row>
    <row r="941">
      <c r="I941" s="54"/>
    </row>
    <row r="942">
      <c r="I942" s="54"/>
    </row>
    <row r="943">
      <c r="I943" s="54"/>
    </row>
    <row r="944">
      <c r="I944" s="54"/>
    </row>
    <row r="945">
      <c r="I945" s="54"/>
    </row>
    <row r="946">
      <c r="I946" s="54"/>
    </row>
    <row r="947">
      <c r="I947" s="54"/>
    </row>
    <row r="948">
      <c r="I948" s="54"/>
    </row>
    <row r="949">
      <c r="I949" s="54"/>
    </row>
    <row r="950">
      <c r="I950" s="54"/>
    </row>
    <row r="951">
      <c r="I951" s="54"/>
    </row>
    <row r="952">
      <c r="I952" s="54"/>
    </row>
    <row r="953">
      <c r="I953" s="54"/>
    </row>
    <row r="954">
      <c r="I954" s="54"/>
    </row>
    <row r="955">
      <c r="I955" s="54"/>
    </row>
    <row r="956">
      <c r="I956" s="54"/>
    </row>
    <row r="957">
      <c r="I957" s="54"/>
    </row>
    <row r="958">
      <c r="I958" s="54"/>
    </row>
    <row r="959">
      <c r="I959" s="54"/>
    </row>
    <row r="960">
      <c r="I960" s="54"/>
    </row>
    <row r="961">
      <c r="I961" s="54"/>
    </row>
    <row r="962">
      <c r="I962" s="54"/>
    </row>
    <row r="963">
      <c r="I963" s="54"/>
    </row>
    <row r="964">
      <c r="I964" s="54"/>
    </row>
    <row r="965">
      <c r="I965" s="54"/>
    </row>
    <row r="966">
      <c r="I966" s="54"/>
    </row>
    <row r="967">
      <c r="I967" s="54"/>
    </row>
    <row r="968">
      <c r="I968" s="54"/>
    </row>
    <row r="969">
      <c r="I969" s="54"/>
    </row>
    <row r="970">
      <c r="I970" s="54"/>
    </row>
    <row r="971">
      <c r="I971" s="54"/>
    </row>
    <row r="972">
      <c r="I972" s="54"/>
    </row>
    <row r="973">
      <c r="I973" s="54"/>
    </row>
    <row r="974">
      <c r="I974" s="54"/>
    </row>
    <row r="975">
      <c r="I975" s="54"/>
    </row>
    <row r="976">
      <c r="I976" s="54"/>
    </row>
    <row r="977">
      <c r="I977" s="54"/>
    </row>
    <row r="978">
      <c r="I978" s="54"/>
    </row>
    <row r="979">
      <c r="I979" s="54"/>
    </row>
    <row r="980">
      <c r="I980" s="54"/>
    </row>
    <row r="981">
      <c r="I981" s="54"/>
    </row>
    <row r="982">
      <c r="I982" s="54"/>
    </row>
    <row r="983">
      <c r="I983" s="54"/>
    </row>
    <row r="984">
      <c r="I984" s="54"/>
    </row>
    <row r="985">
      <c r="I985" s="54"/>
    </row>
    <row r="986">
      <c r="I986" s="54"/>
    </row>
    <row r="987">
      <c r="I987" s="54"/>
    </row>
    <row r="988">
      <c r="I988" s="54"/>
    </row>
    <row r="989">
      <c r="I989" s="54"/>
    </row>
    <row r="990">
      <c r="I990" s="54"/>
    </row>
    <row r="991">
      <c r="I991" s="54"/>
    </row>
    <row r="992">
      <c r="I992" s="54"/>
    </row>
    <row r="993">
      <c r="I993" s="54"/>
    </row>
    <row r="994">
      <c r="I994" s="54"/>
    </row>
    <row r="995">
      <c r="I995" s="54"/>
    </row>
    <row r="996">
      <c r="I996" s="54"/>
    </row>
    <row r="997">
      <c r="I997" s="54"/>
    </row>
    <row r="998">
      <c r="I998" s="54"/>
    </row>
    <row r="999">
      <c r="I999" s="54"/>
    </row>
    <row r="1000">
      <c r="I1000" s="54"/>
    </row>
  </sheetData>
  <mergeCells count="1">
    <mergeCell ref="H7:J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0"/>
    <col customWidth="1" min="5" max="5" width="14.5"/>
  </cols>
  <sheetData>
    <row r="1">
      <c r="A1" s="32" t="s">
        <v>60</v>
      </c>
      <c r="B1" s="54"/>
      <c r="D1" s="54"/>
      <c r="E1" s="54"/>
    </row>
    <row r="2">
      <c r="B2" s="54"/>
      <c r="D2" s="54"/>
      <c r="E2" s="54"/>
    </row>
    <row r="3">
      <c r="B3" s="57" t="s">
        <v>65</v>
      </c>
      <c r="D3" s="54"/>
      <c r="E3" s="54"/>
    </row>
    <row r="4">
      <c r="A4" s="32"/>
      <c r="B4" s="54"/>
      <c r="D4" s="54"/>
      <c r="E4" s="54"/>
    </row>
    <row r="5">
      <c r="D5" s="54"/>
      <c r="E5" s="54"/>
    </row>
    <row r="6">
      <c r="D6" s="54"/>
      <c r="E6" s="54"/>
    </row>
    <row r="7">
      <c r="D7" s="54"/>
      <c r="E7" s="54"/>
    </row>
    <row r="8">
      <c r="D8" s="54"/>
      <c r="E8" s="54"/>
    </row>
    <row r="9">
      <c r="D9" s="54"/>
      <c r="E9" s="54"/>
    </row>
    <row r="10">
      <c r="D10" s="54"/>
      <c r="E10" s="54"/>
    </row>
    <row r="11">
      <c r="D11" s="54"/>
      <c r="E11" s="54"/>
    </row>
    <row r="12">
      <c r="D12" s="54"/>
      <c r="E12" s="54"/>
    </row>
    <row r="13">
      <c r="D13" s="54"/>
      <c r="E13" s="54"/>
    </row>
    <row r="14">
      <c r="D14" s="54"/>
      <c r="E14" s="54"/>
    </row>
    <row r="15">
      <c r="D15" s="54"/>
      <c r="E15" s="54"/>
    </row>
    <row r="16">
      <c r="B16" s="54"/>
      <c r="D16" s="54"/>
      <c r="E16" s="54"/>
    </row>
    <row r="17">
      <c r="B17" s="54"/>
      <c r="D17" s="54"/>
      <c r="E17" s="54"/>
    </row>
    <row r="18">
      <c r="A18" s="64" t="s">
        <v>66</v>
      </c>
    </row>
    <row r="19">
      <c r="A19" s="64" t="s">
        <v>67</v>
      </c>
    </row>
    <row r="20">
      <c r="A20" s="64" t="s">
        <v>68</v>
      </c>
    </row>
    <row r="21">
      <c r="A21" s="65"/>
    </row>
    <row r="22">
      <c r="A22" s="66"/>
      <c r="B22" s="67"/>
      <c r="C22" s="66"/>
      <c r="D22" s="67"/>
      <c r="E22" s="67"/>
    </row>
    <row r="23">
      <c r="A23" s="68" t="s">
        <v>69</v>
      </c>
      <c r="B23" s="69">
        <v>0.0</v>
      </c>
      <c r="C23" s="66"/>
      <c r="D23" s="67"/>
      <c r="E23" s="67"/>
    </row>
    <row r="24">
      <c r="A24" s="68" t="s">
        <v>70</v>
      </c>
      <c r="B24" s="69" t="s">
        <v>71</v>
      </c>
      <c r="C24" s="66"/>
      <c r="D24" s="67"/>
      <c r="E24" s="67"/>
    </row>
    <row r="25">
      <c r="A25" s="68" t="s">
        <v>72</v>
      </c>
      <c r="B25" s="70">
        <v>0.05</v>
      </c>
      <c r="C25" s="66"/>
      <c r="D25" s="67"/>
      <c r="E25" s="67"/>
    </row>
    <row r="26">
      <c r="A26" s="68" t="s">
        <v>73</v>
      </c>
      <c r="B26" s="71">
        <f>COUNT(B6:B15)-1</f>
        <v>9</v>
      </c>
      <c r="C26" s="66"/>
      <c r="D26" s="67"/>
      <c r="E26" s="67"/>
    </row>
    <row r="27">
      <c r="A27" s="68" t="s">
        <v>74</v>
      </c>
      <c r="B27" s="72">
        <f>AVERAGE(B6:B15)</f>
        <v>18064.10339</v>
      </c>
      <c r="C27" s="66"/>
      <c r="D27" s="67"/>
      <c r="E27" s="67"/>
    </row>
    <row r="28">
      <c r="A28" s="68" t="s">
        <v>50</v>
      </c>
      <c r="B28" s="71">
        <f>STDEV(B6:B15)</f>
        <v>15985.74831</v>
      </c>
      <c r="C28" s="66"/>
      <c r="D28" s="67"/>
      <c r="E28" s="67"/>
    </row>
    <row r="29">
      <c r="A29" s="68" t="s">
        <v>75</v>
      </c>
      <c r="B29" s="72">
        <f>COUNT(B6:B15)</f>
        <v>10</v>
      </c>
      <c r="C29" s="66"/>
      <c r="D29" s="67"/>
      <c r="E29" s="67"/>
    </row>
    <row r="30">
      <c r="A30" s="73" t="s">
        <v>76</v>
      </c>
      <c r="B30" s="71">
        <f>ABS((B27-B23)*SQRT(B29)/B28)</f>
        <v>3.573414861</v>
      </c>
      <c r="C30" s="66"/>
      <c r="D30" s="74" t="s">
        <v>77</v>
      </c>
      <c r="E30" s="75">
        <f>TDIST(B30,B31,2)</f>
        <v>0.07016995587</v>
      </c>
    </row>
    <row r="31">
      <c r="A31" s="73" t="s">
        <v>78</v>
      </c>
      <c r="B31" s="76">
        <f>TINV(B25,B26)</f>
        <v>2.262157163</v>
      </c>
      <c r="C31" s="66"/>
      <c r="D31" s="77">
        <f>TINV(0.05,2)</f>
        <v>4.30265273</v>
      </c>
      <c r="E31" s="78"/>
    </row>
    <row r="32">
      <c r="A32" s="66"/>
      <c r="B32" s="67"/>
      <c r="C32" s="66"/>
      <c r="D32" s="67"/>
      <c r="E32" s="67"/>
    </row>
    <row r="33">
      <c r="A33" s="79"/>
      <c r="B33" s="80"/>
      <c r="C33" s="79"/>
      <c r="D33" s="80"/>
      <c r="E33" s="80"/>
    </row>
    <row r="34">
      <c r="A34" s="81" t="s">
        <v>79</v>
      </c>
    </row>
    <row r="35">
      <c r="A35" s="79"/>
      <c r="B35" s="80"/>
      <c r="C35" s="79"/>
      <c r="D35" s="80"/>
      <c r="E35" s="80"/>
    </row>
    <row r="36">
      <c r="B36" s="54"/>
      <c r="D36" s="54"/>
      <c r="E36" s="54"/>
    </row>
    <row r="37">
      <c r="B37" s="54"/>
      <c r="D37" s="54"/>
      <c r="E37" s="54"/>
    </row>
    <row r="38">
      <c r="B38" s="54"/>
      <c r="D38" s="54"/>
      <c r="E38" s="54"/>
    </row>
    <row r="39">
      <c r="B39" s="54"/>
      <c r="D39" s="54"/>
      <c r="E39" s="54"/>
    </row>
    <row r="40">
      <c r="B40" s="54"/>
      <c r="D40" s="54"/>
      <c r="E40" s="54"/>
    </row>
    <row r="41">
      <c r="B41" s="54"/>
      <c r="D41" s="54"/>
      <c r="E41" s="54"/>
    </row>
    <row r="42">
      <c r="B42" s="54"/>
      <c r="D42" s="54"/>
      <c r="E42" s="54"/>
    </row>
    <row r="43">
      <c r="B43" s="54"/>
      <c r="D43" s="54"/>
      <c r="E43" s="54"/>
    </row>
    <row r="44">
      <c r="B44" s="54"/>
      <c r="D44" s="54"/>
      <c r="E44" s="54"/>
    </row>
    <row r="45">
      <c r="B45" s="54"/>
      <c r="D45" s="54"/>
      <c r="E45" s="54"/>
    </row>
    <row r="46">
      <c r="B46" s="54"/>
      <c r="D46" s="54"/>
      <c r="E46" s="54"/>
    </row>
    <row r="47">
      <c r="B47" s="54"/>
      <c r="D47" s="54"/>
      <c r="E47" s="54"/>
    </row>
    <row r="48">
      <c r="B48" s="54"/>
      <c r="D48" s="54"/>
      <c r="E48" s="54"/>
    </row>
    <row r="49">
      <c r="B49" s="54"/>
      <c r="D49" s="54"/>
      <c r="E49" s="54"/>
    </row>
    <row r="50">
      <c r="B50" s="54"/>
      <c r="D50" s="54"/>
      <c r="E50" s="54"/>
    </row>
    <row r="51">
      <c r="B51" s="54"/>
      <c r="D51" s="54"/>
      <c r="E51" s="54"/>
    </row>
    <row r="52">
      <c r="B52" s="54"/>
      <c r="D52" s="54"/>
      <c r="E52" s="54"/>
    </row>
    <row r="53">
      <c r="B53" s="54"/>
      <c r="D53" s="54"/>
      <c r="E53" s="54"/>
    </row>
    <row r="54">
      <c r="B54" s="54"/>
      <c r="D54" s="54"/>
      <c r="E54" s="54"/>
    </row>
    <row r="55">
      <c r="B55" s="54"/>
      <c r="D55" s="54"/>
      <c r="E55" s="54"/>
    </row>
    <row r="56">
      <c r="B56" s="54"/>
      <c r="D56" s="54"/>
      <c r="E56" s="54"/>
    </row>
    <row r="57">
      <c r="B57" s="54"/>
      <c r="D57" s="54"/>
      <c r="E57" s="54"/>
    </row>
    <row r="58">
      <c r="B58" s="54"/>
      <c r="D58" s="54"/>
      <c r="E58" s="54"/>
    </row>
    <row r="59">
      <c r="B59" s="54"/>
      <c r="D59" s="54"/>
      <c r="E59" s="54"/>
    </row>
    <row r="60">
      <c r="B60" s="54"/>
      <c r="D60" s="54"/>
      <c r="E60" s="54"/>
    </row>
    <row r="61">
      <c r="B61" s="54"/>
      <c r="D61" s="54"/>
      <c r="E61" s="54"/>
    </row>
    <row r="62">
      <c r="B62" s="54"/>
      <c r="D62" s="54"/>
      <c r="E62" s="54"/>
    </row>
    <row r="63">
      <c r="B63" s="54"/>
      <c r="D63" s="54"/>
      <c r="E63" s="54"/>
    </row>
    <row r="64">
      <c r="B64" s="54"/>
      <c r="D64" s="54"/>
      <c r="E64" s="54"/>
    </row>
    <row r="65">
      <c r="B65" s="54"/>
      <c r="D65" s="54"/>
      <c r="E65" s="54"/>
    </row>
    <row r="66">
      <c r="B66" s="54"/>
      <c r="D66" s="54"/>
      <c r="E66" s="54"/>
    </row>
    <row r="67">
      <c r="B67" s="54"/>
      <c r="D67" s="54"/>
      <c r="E67" s="54"/>
    </row>
    <row r="68">
      <c r="B68" s="54"/>
      <c r="D68" s="54"/>
      <c r="E68" s="54"/>
    </row>
    <row r="69">
      <c r="B69" s="54"/>
      <c r="D69" s="54"/>
      <c r="E69" s="54"/>
    </row>
    <row r="70">
      <c r="B70" s="54"/>
      <c r="D70" s="54"/>
      <c r="E70" s="54"/>
    </row>
    <row r="71">
      <c r="B71" s="54"/>
      <c r="D71" s="54"/>
      <c r="E71" s="54"/>
    </row>
    <row r="72">
      <c r="B72" s="54"/>
      <c r="D72" s="54"/>
      <c r="E72" s="54"/>
    </row>
    <row r="73">
      <c r="B73" s="54"/>
      <c r="D73" s="54"/>
      <c r="E73" s="54"/>
    </row>
    <row r="74">
      <c r="B74" s="54"/>
      <c r="D74" s="54"/>
      <c r="E74" s="54"/>
    </row>
    <row r="75">
      <c r="B75" s="54"/>
      <c r="D75" s="54"/>
      <c r="E75" s="54"/>
    </row>
    <row r="76">
      <c r="B76" s="54"/>
      <c r="D76" s="54"/>
      <c r="E76" s="54"/>
    </row>
    <row r="77">
      <c r="B77" s="54"/>
      <c r="D77" s="54"/>
      <c r="E77" s="54"/>
    </row>
    <row r="78">
      <c r="B78" s="54"/>
      <c r="D78" s="54"/>
      <c r="E78" s="54"/>
    </row>
    <row r="79">
      <c r="B79" s="54"/>
      <c r="D79" s="54"/>
      <c r="E79" s="54"/>
    </row>
    <row r="80">
      <c r="B80" s="54"/>
      <c r="D80" s="54"/>
      <c r="E80" s="54"/>
    </row>
    <row r="81">
      <c r="B81" s="54"/>
      <c r="D81" s="54"/>
      <c r="E81" s="54"/>
    </row>
    <row r="82">
      <c r="B82" s="54"/>
      <c r="D82" s="54"/>
      <c r="E82" s="54"/>
    </row>
    <row r="83">
      <c r="B83" s="54"/>
      <c r="D83" s="54"/>
      <c r="E83" s="54"/>
    </row>
    <row r="84">
      <c r="B84" s="54"/>
      <c r="D84" s="54"/>
      <c r="E84" s="54"/>
    </row>
    <row r="85">
      <c r="B85" s="54"/>
      <c r="D85" s="54"/>
      <c r="E85" s="54"/>
    </row>
    <row r="86">
      <c r="B86" s="54"/>
      <c r="D86" s="54"/>
      <c r="E86" s="54"/>
    </row>
    <row r="87">
      <c r="B87" s="54"/>
      <c r="D87" s="54"/>
      <c r="E87" s="54"/>
    </row>
    <row r="88">
      <c r="B88" s="54"/>
      <c r="D88" s="54"/>
      <c r="E88" s="54"/>
    </row>
    <row r="89">
      <c r="B89" s="54"/>
      <c r="D89" s="54"/>
      <c r="E89" s="54"/>
    </row>
    <row r="90">
      <c r="B90" s="54"/>
      <c r="D90" s="54"/>
      <c r="E90" s="54"/>
    </row>
    <row r="91">
      <c r="B91" s="54"/>
      <c r="D91" s="54"/>
      <c r="E91" s="54"/>
    </row>
    <row r="92">
      <c r="B92" s="54"/>
      <c r="D92" s="54"/>
      <c r="E92" s="54"/>
    </row>
    <row r="93">
      <c r="B93" s="54"/>
      <c r="D93" s="54"/>
      <c r="E93" s="54"/>
    </row>
    <row r="94">
      <c r="B94" s="54"/>
      <c r="D94" s="54"/>
      <c r="E94" s="54"/>
    </row>
    <row r="95">
      <c r="B95" s="54"/>
      <c r="D95" s="54"/>
      <c r="E95" s="54"/>
    </row>
    <row r="96">
      <c r="B96" s="54"/>
      <c r="D96" s="54"/>
      <c r="E96" s="54"/>
    </row>
    <row r="97">
      <c r="B97" s="54"/>
      <c r="D97" s="54"/>
      <c r="E97" s="54"/>
    </row>
    <row r="98">
      <c r="B98" s="54"/>
      <c r="D98" s="54"/>
      <c r="E98" s="54"/>
    </row>
    <row r="99">
      <c r="B99" s="54"/>
      <c r="D99" s="54"/>
      <c r="E99" s="54"/>
    </row>
    <row r="100">
      <c r="B100" s="54"/>
      <c r="D100" s="54"/>
      <c r="E100" s="54"/>
    </row>
    <row r="101">
      <c r="B101" s="54"/>
      <c r="D101" s="54"/>
      <c r="E101" s="54"/>
    </row>
    <row r="102">
      <c r="B102" s="54"/>
      <c r="D102" s="54"/>
      <c r="E102" s="54"/>
    </row>
    <row r="103">
      <c r="B103" s="54"/>
      <c r="D103" s="54"/>
      <c r="E103" s="54"/>
    </row>
    <row r="104">
      <c r="B104" s="54"/>
      <c r="D104" s="54"/>
      <c r="E104" s="54"/>
    </row>
    <row r="105">
      <c r="B105" s="54"/>
      <c r="D105" s="54"/>
      <c r="E105" s="54"/>
    </row>
    <row r="106">
      <c r="B106" s="54"/>
      <c r="D106" s="54"/>
      <c r="E106" s="54"/>
    </row>
    <row r="107">
      <c r="B107" s="54"/>
      <c r="D107" s="54"/>
      <c r="E107" s="54"/>
    </row>
    <row r="108">
      <c r="B108" s="54"/>
      <c r="D108" s="54"/>
      <c r="E108" s="54"/>
    </row>
    <row r="109">
      <c r="B109" s="54"/>
      <c r="D109" s="54"/>
      <c r="E109" s="54"/>
    </row>
    <row r="110">
      <c r="B110" s="54"/>
      <c r="D110" s="54"/>
      <c r="E110" s="54"/>
    </row>
    <row r="111">
      <c r="B111" s="54"/>
      <c r="D111" s="54"/>
      <c r="E111" s="54"/>
    </row>
    <row r="112">
      <c r="B112" s="54"/>
      <c r="D112" s="54"/>
      <c r="E112" s="54"/>
    </row>
    <row r="113">
      <c r="B113" s="54"/>
      <c r="D113" s="54"/>
      <c r="E113" s="54"/>
    </row>
    <row r="114">
      <c r="B114" s="54"/>
      <c r="D114" s="54"/>
      <c r="E114" s="54"/>
    </row>
    <row r="115">
      <c r="B115" s="54"/>
      <c r="D115" s="54"/>
      <c r="E115" s="54"/>
    </row>
    <row r="116">
      <c r="B116" s="54"/>
      <c r="D116" s="54"/>
      <c r="E116" s="54"/>
    </row>
    <row r="117">
      <c r="B117" s="54"/>
      <c r="D117" s="54"/>
      <c r="E117" s="54"/>
    </row>
    <row r="118">
      <c r="B118" s="54"/>
      <c r="D118" s="54"/>
      <c r="E118" s="54"/>
    </row>
    <row r="119">
      <c r="B119" s="54"/>
      <c r="D119" s="54"/>
      <c r="E119" s="54"/>
    </row>
    <row r="120">
      <c r="B120" s="54"/>
      <c r="D120" s="54"/>
      <c r="E120" s="54"/>
    </row>
    <row r="121">
      <c r="B121" s="54"/>
      <c r="D121" s="54"/>
      <c r="E121" s="54"/>
    </row>
    <row r="122">
      <c r="B122" s="54"/>
      <c r="D122" s="54"/>
      <c r="E122" s="54"/>
    </row>
    <row r="123">
      <c r="B123" s="54"/>
      <c r="D123" s="54"/>
      <c r="E123" s="54"/>
    </row>
    <row r="124">
      <c r="B124" s="54"/>
      <c r="D124" s="54"/>
      <c r="E124" s="54"/>
    </row>
    <row r="125">
      <c r="B125" s="54"/>
      <c r="D125" s="54"/>
      <c r="E125" s="54"/>
    </row>
    <row r="126">
      <c r="B126" s="54"/>
      <c r="D126" s="54"/>
      <c r="E126" s="54"/>
    </row>
    <row r="127">
      <c r="B127" s="54"/>
      <c r="D127" s="54"/>
      <c r="E127" s="54"/>
    </row>
    <row r="128">
      <c r="B128" s="54"/>
      <c r="D128" s="54"/>
      <c r="E128" s="54"/>
    </row>
    <row r="129">
      <c r="B129" s="54"/>
      <c r="D129" s="54"/>
      <c r="E129" s="54"/>
    </row>
    <row r="130">
      <c r="B130" s="54"/>
      <c r="D130" s="54"/>
      <c r="E130" s="54"/>
    </row>
    <row r="131">
      <c r="B131" s="54"/>
      <c r="D131" s="54"/>
      <c r="E131" s="54"/>
    </row>
    <row r="132">
      <c r="B132" s="54"/>
      <c r="D132" s="54"/>
      <c r="E132" s="54"/>
    </row>
    <row r="133">
      <c r="B133" s="54"/>
      <c r="D133" s="54"/>
      <c r="E133" s="54"/>
    </row>
    <row r="134">
      <c r="B134" s="54"/>
      <c r="D134" s="54"/>
      <c r="E134" s="54"/>
    </row>
    <row r="135">
      <c r="B135" s="54"/>
      <c r="D135" s="54"/>
      <c r="E135" s="54"/>
    </row>
    <row r="136">
      <c r="B136" s="54"/>
      <c r="D136" s="54"/>
      <c r="E136" s="54"/>
    </row>
    <row r="137">
      <c r="B137" s="54"/>
      <c r="D137" s="54"/>
      <c r="E137" s="54"/>
    </row>
    <row r="138">
      <c r="B138" s="54"/>
      <c r="D138" s="54"/>
      <c r="E138" s="54"/>
    </row>
    <row r="139">
      <c r="B139" s="54"/>
      <c r="D139" s="54"/>
      <c r="E139" s="54"/>
    </row>
    <row r="140">
      <c r="B140" s="54"/>
      <c r="D140" s="54"/>
      <c r="E140" s="54"/>
    </row>
    <row r="141">
      <c r="B141" s="54"/>
      <c r="D141" s="54"/>
      <c r="E141" s="54"/>
    </row>
    <row r="142">
      <c r="B142" s="54"/>
      <c r="D142" s="54"/>
      <c r="E142" s="54"/>
    </row>
    <row r="143">
      <c r="B143" s="54"/>
      <c r="D143" s="54"/>
      <c r="E143" s="54"/>
    </row>
    <row r="144">
      <c r="B144" s="54"/>
      <c r="D144" s="54"/>
      <c r="E144" s="54"/>
    </row>
    <row r="145">
      <c r="B145" s="54"/>
      <c r="D145" s="54"/>
      <c r="E145" s="54"/>
    </row>
    <row r="146">
      <c r="B146" s="54"/>
      <c r="D146" s="54"/>
      <c r="E146" s="54"/>
    </row>
    <row r="147">
      <c r="B147" s="54"/>
      <c r="D147" s="54"/>
      <c r="E147" s="54"/>
    </row>
    <row r="148">
      <c r="B148" s="54"/>
      <c r="D148" s="54"/>
      <c r="E148" s="54"/>
    </row>
    <row r="149">
      <c r="B149" s="54"/>
      <c r="D149" s="54"/>
      <c r="E149" s="54"/>
    </row>
    <row r="150">
      <c r="B150" s="54"/>
      <c r="D150" s="54"/>
      <c r="E150" s="54"/>
    </row>
    <row r="151">
      <c r="B151" s="54"/>
      <c r="D151" s="54"/>
      <c r="E151" s="54"/>
    </row>
    <row r="152">
      <c r="B152" s="54"/>
      <c r="D152" s="54"/>
      <c r="E152" s="54"/>
    </row>
    <row r="153">
      <c r="B153" s="54"/>
      <c r="D153" s="54"/>
      <c r="E153" s="54"/>
    </row>
    <row r="154">
      <c r="B154" s="54"/>
      <c r="D154" s="54"/>
      <c r="E154" s="54"/>
    </row>
    <row r="155">
      <c r="B155" s="54"/>
      <c r="D155" s="54"/>
      <c r="E155" s="54"/>
    </row>
    <row r="156">
      <c r="B156" s="54"/>
      <c r="D156" s="54"/>
      <c r="E156" s="54"/>
    </row>
    <row r="157">
      <c r="B157" s="54"/>
      <c r="D157" s="54"/>
      <c r="E157" s="54"/>
    </row>
    <row r="158">
      <c r="B158" s="54"/>
      <c r="D158" s="54"/>
      <c r="E158" s="54"/>
    </row>
    <row r="159">
      <c r="B159" s="54"/>
      <c r="D159" s="54"/>
      <c r="E159" s="54"/>
    </row>
    <row r="160">
      <c r="B160" s="54"/>
      <c r="D160" s="54"/>
      <c r="E160" s="54"/>
    </row>
    <row r="161">
      <c r="B161" s="54"/>
      <c r="D161" s="54"/>
      <c r="E161" s="54"/>
    </row>
    <row r="162">
      <c r="B162" s="54"/>
      <c r="D162" s="54"/>
      <c r="E162" s="54"/>
    </row>
    <row r="163">
      <c r="B163" s="54"/>
      <c r="D163" s="54"/>
      <c r="E163" s="54"/>
    </row>
    <row r="164">
      <c r="B164" s="54"/>
      <c r="D164" s="54"/>
      <c r="E164" s="54"/>
    </row>
    <row r="165">
      <c r="B165" s="54"/>
      <c r="D165" s="54"/>
      <c r="E165" s="54"/>
    </row>
    <row r="166">
      <c r="B166" s="54"/>
      <c r="D166" s="54"/>
      <c r="E166" s="54"/>
    </row>
    <row r="167">
      <c r="B167" s="54"/>
      <c r="D167" s="54"/>
      <c r="E167" s="54"/>
    </row>
    <row r="168">
      <c r="B168" s="54"/>
      <c r="D168" s="54"/>
      <c r="E168" s="54"/>
    </row>
    <row r="169">
      <c r="B169" s="54"/>
      <c r="D169" s="54"/>
      <c r="E169" s="54"/>
    </row>
    <row r="170">
      <c r="B170" s="54"/>
      <c r="D170" s="54"/>
      <c r="E170" s="54"/>
    </row>
    <row r="171">
      <c r="B171" s="54"/>
      <c r="D171" s="54"/>
      <c r="E171" s="54"/>
    </row>
    <row r="172">
      <c r="B172" s="54"/>
      <c r="D172" s="54"/>
      <c r="E172" s="54"/>
    </row>
    <row r="173">
      <c r="B173" s="54"/>
      <c r="D173" s="54"/>
      <c r="E173" s="54"/>
    </row>
    <row r="174">
      <c r="B174" s="54"/>
      <c r="D174" s="54"/>
      <c r="E174" s="54"/>
    </row>
    <row r="175">
      <c r="B175" s="54"/>
      <c r="D175" s="54"/>
      <c r="E175" s="54"/>
    </row>
    <row r="176">
      <c r="B176" s="54"/>
      <c r="D176" s="54"/>
      <c r="E176" s="54"/>
    </row>
    <row r="177">
      <c r="B177" s="54"/>
      <c r="D177" s="54"/>
      <c r="E177" s="54"/>
    </row>
    <row r="178">
      <c r="B178" s="54"/>
      <c r="D178" s="54"/>
      <c r="E178" s="54"/>
    </row>
    <row r="179">
      <c r="B179" s="54"/>
      <c r="D179" s="54"/>
      <c r="E179" s="54"/>
    </row>
    <row r="180">
      <c r="B180" s="54"/>
      <c r="D180" s="54"/>
      <c r="E180" s="54"/>
    </row>
    <row r="181">
      <c r="B181" s="54"/>
      <c r="D181" s="54"/>
      <c r="E181" s="54"/>
    </row>
    <row r="182">
      <c r="B182" s="54"/>
      <c r="D182" s="54"/>
      <c r="E182" s="54"/>
    </row>
    <row r="183">
      <c r="B183" s="54"/>
      <c r="D183" s="54"/>
      <c r="E183" s="54"/>
    </row>
    <row r="184">
      <c r="B184" s="54"/>
      <c r="D184" s="54"/>
      <c r="E184" s="54"/>
    </row>
    <row r="185">
      <c r="B185" s="54"/>
      <c r="D185" s="54"/>
      <c r="E185" s="54"/>
    </row>
    <row r="186">
      <c r="B186" s="54"/>
      <c r="D186" s="54"/>
      <c r="E186" s="54"/>
    </row>
    <row r="187">
      <c r="B187" s="54"/>
      <c r="D187" s="54"/>
      <c r="E187" s="54"/>
    </row>
    <row r="188">
      <c r="B188" s="54"/>
      <c r="D188" s="54"/>
      <c r="E188" s="54"/>
    </row>
    <row r="189">
      <c r="B189" s="54"/>
      <c r="D189" s="54"/>
      <c r="E189" s="54"/>
    </row>
    <row r="190">
      <c r="B190" s="54"/>
      <c r="D190" s="54"/>
      <c r="E190" s="54"/>
    </row>
    <row r="191">
      <c r="B191" s="54"/>
      <c r="D191" s="54"/>
      <c r="E191" s="54"/>
    </row>
    <row r="192">
      <c r="B192" s="54"/>
      <c r="D192" s="54"/>
      <c r="E192" s="54"/>
    </row>
    <row r="193">
      <c r="B193" s="54"/>
      <c r="D193" s="54"/>
      <c r="E193" s="54"/>
    </row>
    <row r="194">
      <c r="B194" s="54"/>
      <c r="D194" s="54"/>
      <c r="E194" s="54"/>
    </row>
    <row r="195">
      <c r="B195" s="54"/>
      <c r="D195" s="54"/>
      <c r="E195" s="54"/>
    </row>
    <row r="196">
      <c r="B196" s="54"/>
      <c r="D196" s="54"/>
      <c r="E196" s="54"/>
    </row>
    <row r="197">
      <c r="B197" s="54"/>
      <c r="D197" s="54"/>
      <c r="E197" s="54"/>
    </row>
    <row r="198">
      <c r="B198" s="54"/>
      <c r="D198" s="54"/>
      <c r="E198" s="54"/>
    </row>
    <row r="199">
      <c r="B199" s="54"/>
      <c r="D199" s="54"/>
      <c r="E199" s="54"/>
    </row>
    <row r="200">
      <c r="B200" s="54"/>
      <c r="D200" s="54"/>
      <c r="E200" s="54"/>
    </row>
    <row r="201">
      <c r="B201" s="54"/>
      <c r="D201" s="54"/>
      <c r="E201" s="54"/>
    </row>
    <row r="202">
      <c r="B202" s="54"/>
      <c r="D202" s="54"/>
      <c r="E202" s="54"/>
    </row>
    <row r="203">
      <c r="B203" s="54"/>
      <c r="D203" s="54"/>
      <c r="E203" s="54"/>
    </row>
    <row r="204">
      <c r="B204" s="54"/>
      <c r="D204" s="54"/>
      <c r="E204" s="54"/>
    </row>
    <row r="205">
      <c r="B205" s="54"/>
      <c r="D205" s="54"/>
      <c r="E205" s="54"/>
    </row>
    <row r="206">
      <c r="B206" s="54"/>
      <c r="D206" s="54"/>
      <c r="E206" s="54"/>
    </row>
    <row r="207">
      <c r="B207" s="54"/>
      <c r="D207" s="54"/>
      <c r="E207" s="54"/>
    </row>
    <row r="208">
      <c r="B208" s="54"/>
      <c r="D208" s="54"/>
      <c r="E208" s="54"/>
    </row>
    <row r="209">
      <c r="B209" s="54"/>
      <c r="D209" s="54"/>
      <c r="E209" s="54"/>
    </row>
    <row r="210">
      <c r="B210" s="54"/>
      <c r="D210" s="54"/>
      <c r="E210" s="54"/>
    </row>
    <row r="211">
      <c r="B211" s="54"/>
      <c r="D211" s="54"/>
      <c r="E211" s="54"/>
    </row>
    <row r="212">
      <c r="B212" s="54"/>
      <c r="D212" s="54"/>
      <c r="E212" s="54"/>
    </row>
    <row r="213">
      <c r="B213" s="54"/>
      <c r="D213" s="54"/>
      <c r="E213" s="54"/>
    </row>
    <row r="214">
      <c r="B214" s="54"/>
      <c r="D214" s="54"/>
      <c r="E214" s="54"/>
    </row>
    <row r="215">
      <c r="B215" s="54"/>
      <c r="D215" s="54"/>
      <c r="E215" s="54"/>
    </row>
    <row r="216">
      <c r="B216" s="54"/>
      <c r="D216" s="54"/>
      <c r="E216" s="54"/>
    </row>
    <row r="217">
      <c r="B217" s="54"/>
      <c r="D217" s="54"/>
      <c r="E217" s="54"/>
    </row>
    <row r="218">
      <c r="B218" s="54"/>
      <c r="D218" s="54"/>
      <c r="E218" s="54"/>
    </row>
    <row r="219">
      <c r="B219" s="54"/>
      <c r="D219" s="54"/>
      <c r="E219" s="54"/>
    </row>
    <row r="220">
      <c r="B220" s="54"/>
      <c r="D220" s="54"/>
      <c r="E220" s="54"/>
    </row>
    <row r="221">
      <c r="B221" s="54"/>
      <c r="D221" s="54"/>
      <c r="E221" s="54"/>
    </row>
    <row r="222">
      <c r="B222" s="54"/>
      <c r="D222" s="54"/>
      <c r="E222" s="54"/>
    </row>
    <row r="223">
      <c r="B223" s="54"/>
      <c r="D223" s="54"/>
      <c r="E223" s="54"/>
    </row>
    <row r="224">
      <c r="B224" s="54"/>
      <c r="D224" s="54"/>
      <c r="E224" s="54"/>
    </row>
    <row r="225">
      <c r="B225" s="54"/>
      <c r="D225" s="54"/>
      <c r="E225" s="54"/>
    </row>
    <row r="226">
      <c r="B226" s="54"/>
      <c r="D226" s="54"/>
      <c r="E226" s="54"/>
    </row>
    <row r="227">
      <c r="B227" s="54"/>
      <c r="D227" s="54"/>
      <c r="E227" s="54"/>
    </row>
    <row r="228">
      <c r="B228" s="54"/>
      <c r="D228" s="54"/>
      <c r="E228" s="54"/>
    </row>
    <row r="229">
      <c r="B229" s="54"/>
      <c r="D229" s="54"/>
      <c r="E229" s="54"/>
    </row>
    <row r="230">
      <c r="B230" s="54"/>
      <c r="D230" s="54"/>
      <c r="E230" s="54"/>
    </row>
    <row r="231">
      <c r="B231" s="54"/>
      <c r="D231" s="54"/>
      <c r="E231" s="54"/>
    </row>
    <row r="232">
      <c r="B232" s="54"/>
      <c r="D232" s="54"/>
      <c r="E232" s="54"/>
    </row>
    <row r="233">
      <c r="B233" s="54"/>
      <c r="D233" s="54"/>
      <c r="E233" s="54"/>
    </row>
    <row r="234">
      <c r="B234" s="54"/>
      <c r="D234" s="54"/>
      <c r="E234" s="54"/>
    </row>
    <row r="235">
      <c r="B235" s="54"/>
      <c r="D235" s="54"/>
      <c r="E235" s="54"/>
    </row>
    <row r="236">
      <c r="B236" s="54"/>
      <c r="D236" s="54"/>
      <c r="E236" s="54"/>
    </row>
    <row r="237">
      <c r="B237" s="54"/>
      <c r="D237" s="54"/>
      <c r="E237" s="54"/>
    </row>
    <row r="238">
      <c r="B238" s="54"/>
      <c r="D238" s="54"/>
      <c r="E238" s="54"/>
    </row>
    <row r="239">
      <c r="B239" s="54"/>
      <c r="D239" s="54"/>
      <c r="E239" s="54"/>
    </row>
    <row r="240">
      <c r="B240" s="54"/>
      <c r="D240" s="54"/>
      <c r="E240" s="54"/>
    </row>
    <row r="241">
      <c r="B241" s="54"/>
      <c r="D241" s="54"/>
      <c r="E241" s="54"/>
    </row>
    <row r="242">
      <c r="B242" s="54"/>
      <c r="D242" s="54"/>
      <c r="E242" s="54"/>
    </row>
    <row r="243">
      <c r="B243" s="54"/>
      <c r="D243" s="54"/>
      <c r="E243" s="54"/>
    </row>
    <row r="244">
      <c r="B244" s="54"/>
      <c r="D244" s="54"/>
      <c r="E244" s="54"/>
    </row>
    <row r="245">
      <c r="B245" s="54"/>
      <c r="D245" s="54"/>
      <c r="E245" s="54"/>
    </row>
    <row r="246">
      <c r="B246" s="54"/>
      <c r="D246" s="54"/>
      <c r="E246" s="54"/>
    </row>
    <row r="247">
      <c r="B247" s="54"/>
      <c r="D247" s="54"/>
      <c r="E247" s="54"/>
    </row>
    <row r="248">
      <c r="B248" s="54"/>
      <c r="D248" s="54"/>
      <c r="E248" s="54"/>
    </row>
    <row r="249">
      <c r="B249" s="54"/>
      <c r="D249" s="54"/>
      <c r="E249" s="54"/>
    </row>
    <row r="250">
      <c r="B250" s="54"/>
      <c r="D250" s="54"/>
      <c r="E250" s="54"/>
    </row>
    <row r="251">
      <c r="B251" s="54"/>
      <c r="D251" s="54"/>
      <c r="E251" s="54"/>
    </row>
    <row r="252">
      <c r="B252" s="54"/>
      <c r="D252" s="54"/>
      <c r="E252" s="54"/>
    </row>
    <row r="253">
      <c r="B253" s="54"/>
      <c r="D253" s="54"/>
      <c r="E253" s="54"/>
    </row>
    <row r="254">
      <c r="B254" s="54"/>
      <c r="D254" s="54"/>
      <c r="E254" s="54"/>
    </row>
    <row r="255">
      <c r="B255" s="54"/>
      <c r="D255" s="54"/>
      <c r="E255" s="54"/>
    </row>
    <row r="256">
      <c r="B256" s="54"/>
      <c r="D256" s="54"/>
      <c r="E256" s="54"/>
    </row>
    <row r="257">
      <c r="B257" s="54"/>
      <c r="D257" s="54"/>
      <c r="E257" s="54"/>
    </row>
    <row r="258">
      <c r="B258" s="54"/>
      <c r="D258" s="54"/>
      <c r="E258" s="54"/>
    </row>
    <row r="259">
      <c r="B259" s="54"/>
      <c r="D259" s="54"/>
      <c r="E259" s="54"/>
    </row>
    <row r="260">
      <c r="B260" s="54"/>
      <c r="D260" s="54"/>
      <c r="E260" s="54"/>
    </row>
    <row r="261">
      <c r="B261" s="54"/>
      <c r="D261" s="54"/>
      <c r="E261" s="54"/>
    </row>
    <row r="262">
      <c r="B262" s="54"/>
      <c r="D262" s="54"/>
      <c r="E262" s="54"/>
    </row>
    <row r="263">
      <c r="B263" s="54"/>
      <c r="D263" s="54"/>
      <c r="E263" s="54"/>
    </row>
    <row r="264">
      <c r="B264" s="54"/>
      <c r="D264" s="54"/>
      <c r="E264" s="54"/>
    </row>
    <row r="265">
      <c r="B265" s="54"/>
      <c r="D265" s="54"/>
      <c r="E265" s="54"/>
    </row>
    <row r="266">
      <c r="B266" s="54"/>
      <c r="D266" s="54"/>
      <c r="E266" s="54"/>
    </row>
    <row r="267">
      <c r="B267" s="54"/>
      <c r="D267" s="54"/>
      <c r="E267" s="54"/>
    </row>
    <row r="268">
      <c r="B268" s="54"/>
      <c r="D268" s="54"/>
      <c r="E268" s="54"/>
    </row>
    <row r="269">
      <c r="B269" s="54"/>
      <c r="D269" s="54"/>
      <c r="E269" s="54"/>
    </row>
    <row r="270">
      <c r="B270" s="54"/>
      <c r="D270" s="54"/>
      <c r="E270" s="54"/>
    </row>
    <row r="271">
      <c r="B271" s="54"/>
      <c r="D271" s="54"/>
      <c r="E271" s="54"/>
    </row>
    <row r="272">
      <c r="B272" s="54"/>
      <c r="D272" s="54"/>
      <c r="E272" s="54"/>
    </row>
    <row r="273">
      <c r="B273" s="54"/>
      <c r="D273" s="54"/>
      <c r="E273" s="54"/>
    </row>
    <row r="274">
      <c r="B274" s="54"/>
      <c r="D274" s="54"/>
      <c r="E274" s="54"/>
    </row>
    <row r="275">
      <c r="B275" s="54"/>
      <c r="D275" s="54"/>
      <c r="E275" s="54"/>
    </row>
    <row r="276">
      <c r="B276" s="54"/>
      <c r="D276" s="54"/>
      <c r="E276" s="54"/>
    </row>
    <row r="277">
      <c r="B277" s="54"/>
      <c r="D277" s="54"/>
      <c r="E277" s="54"/>
    </row>
    <row r="278">
      <c r="B278" s="54"/>
      <c r="D278" s="54"/>
      <c r="E278" s="54"/>
    </row>
    <row r="279">
      <c r="B279" s="54"/>
      <c r="D279" s="54"/>
      <c r="E279" s="54"/>
    </row>
    <row r="280">
      <c r="B280" s="54"/>
      <c r="D280" s="54"/>
      <c r="E280" s="54"/>
    </row>
    <row r="281">
      <c r="B281" s="54"/>
      <c r="D281" s="54"/>
      <c r="E281" s="54"/>
    </row>
    <row r="282">
      <c r="B282" s="54"/>
      <c r="D282" s="54"/>
      <c r="E282" s="54"/>
    </row>
    <row r="283">
      <c r="B283" s="54"/>
      <c r="D283" s="54"/>
      <c r="E283" s="54"/>
    </row>
    <row r="284">
      <c r="B284" s="54"/>
      <c r="D284" s="54"/>
      <c r="E284" s="54"/>
    </row>
    <row r="285">
      <c r="B285" s="54"/>
      <c r="D285" s="54"/>
      <c r="E285" s="54"/>
    </row>
    <row r="286">
      <c r="B286" s="54"/>
      <c r="D286" s="54"/>
      <c r="E286" s="54"/>
    </row>
    <row r="287">
      <c r="B287" s="54"/>
      <c r="D287" s="54"/>
      <c r="E287" s="54"/>
    </row>
    <row r="288">
      <c r="B288" s="54"/>
      <c r="D288" s="54"/>
      <c r="E288" s="54"/>
    </row>
    <row r="289">
      <c r="B289" s="54"/>
      <c r="D289" s="54"/>
      <c r="E289" s="54"/>
    </row>
    <row r="290">
      <c r="B290" s="54"/>
      <c r="D290" s="54"/>
      <c r="E290" s="54"/>
    </row>
    <row r="291">
      <c r="B291" s="54"/>
      <c r="D291" s="54"/>
      <c r="E291" s="54"/>
    </row>
    <row r="292">
      <c r="B292" s="54"/>
      <c r="D292" s="54"/>
      <c r="E292" s="54"/>
    </row>
    <row r="293">
      <c r="B293" s="54"/>
      <c r="D293" s="54"/>
      <c r="E293" s="54"/>
    </row>
    <row r="294">
      <c r="B294" s="54"/>
      <c r="D294" s="54"/>
      <c r="E294" s="54"/>
    </row>
    <row r="295">
      <c r="B295" s="54"/>
      <c r="D295" s="54"/>
      <c r="E295" s="54"/>
    </row>
    <row r="296">
      <c r="B296" s="54"/>
      <c r="D296" s="54"/>
      <c r="E296" s="54"/>
    </row>
    <row r="297">
      <c r="B297" s="54"/>
      <c r="D297" s="54"/>
      <c r="E297" s="54"/>
    </row>
    <row r="298">
      <c r="B298" s="54"/>
      <c r="D298" s="54"/>
      <c r="E298" s="54"/>
    </row>
    <row r="299">
      <c r="B299" s="54"/>
      <c r="D299" s="54"/>
      <c r="E299" s="54"/>
    </row>
    <row r="300">
      <c r="B300" s="54"/>
      <c r="D300" s="54"/>
      <c r="E300" s="54"/>
    </row>
    <row r="301">
      <c r="B301" s="54"/>
      <c r="D301" s="54"/>
      <c r="E301" s="54"/>
    </row>
    <row r="302">
      <c r="B302" s="54"/>
      <c r="D302" s="54"/>
      <c r="E302" s="54"/>
    </row>
    <row r="303">
      <c r="B303" s="54"/>
      <c r="D303" s="54"/>
      <c r="E303" s="54"/>
    </row>
    <row r="304">
      <c r="B304" s="54"/>
      <c r="D304" s="54"/>
      <c r="E304" s="54"/>
    </row>
    <row r="305">
      <c r="B305" s="54"/>
      <c r="D305" s="54"/>
      <c r="E305" s="54"/>
    </row>
    <row r="306">
      <c r="B306" s="54"/>
      <c r="D306" s="54"/>
      <c r="E306" s="54"/>
    </row>
    <row r="307">
      <c r="B307" s="54"/>
      <c r="D307" s="54"/>
      <c r="E307" s="54"/>
    </row>
    <row r="308">
      <c r="B308" s="54"/>
      <c r="D308" s="54"/>
      <c r="E308" s="54"/>
    </row>
    <row r="309">
      <c r="B309" s="54"/>
      <c r="D309" s="54"/>
      <c r="E309" s="54"/>
    </row>
    <row r="310">
      <c r="B310" s="54"/>
      <c r="D310" s="54"/>
      <c r="E310" s="54"/>
    </row>
    <row r="311">
      <c r="B311" s="54"/>
      <c r="D311" s="54"/>
      <c r="E311" s="54"/>
    </row>
    <row r="312">
      <c r="B312" s="54"/>
      <c r="D312" s="54"/>
      <c r="E312" s="54"/>
    </row>
    <row r="313">
      <c r="B313" s="54"/>
      <c r="D313" s="54"/>
      <c r="E313" s="54"/>
    </row>
    <row r="314">
      <c r="B314" s="54"/>
      <c r="D314" s="54"/>
      <c r="E314" s="54"/>
    </row>
    <row r="315">
      <c r="B315" s="54"/>
      <c r="D315" s="54"/>
      <c r="E315" s="54"/>
    </row>
    <row r="316">
      <c r="B316" s="54"/>
      <c r="D316" s="54"/>
      <c r="E316" s="54"/>
    </row>
    <row r="317">
      <c r="B317" s="54"/>
      <c r="D317" s="54"/>
      <c r="E317" s="54"/>
    </row>
    <row r="318">
      <c r="B318" s="54"/>
      <c r="D318" s="54"/>
      <c r="E318" s="54"/>
    </row>
    <row r="319">
      <c r="B319" s="54"/>
      <c r="D319" s="54"/>
      <c r="E319" s="54"/>
    </row>
    <row r="320">
      <c r="B320" s="54"/>
      <c r="D320" s="54"/>
      <c r="E320" s="54"/>
    </row>
    <row r="321">
      <c r="B321" s="54"/>
      <c r="D321" s="54"/>
      <c r="E321" s="54"/>
    </row>
    <row r="322">
      <c r="B322" s="54"/>
      <c r="D322" s="54"/>
      <c r="E322" s="54"/>
    </row>
    <row r="323">
      <c r="B323" s="54"/>
      <c r="D323" s="54"/>
      <c r="E323" s="54"/>
    </row>
    <row r="324">
      <c r="B324" s="54"/>
      <c r="D324" s="54"/>
      <c r="E324" s="54"/>
    </row>
    <row r="325">
      <c r="B325" s="54"/>
      <c r="D325" s="54"/>
      <c r="E325" s="54"/>
    </row>
    <row r="326">
      <c r="B326" s="54"/>
      <c r="D326" s="54"/>
      <c r="E326" s="54"/>
    </row>
    <row r="327">
      <c r="B327" s="54"/>
      <c r="D327" s="54"/>
      <c r="E327" s="54"/>
    </row>
    <row r="328">
      <c r="B328" s="54"/>
      <c r="D328" s="54"/>
      <c r="E328" s="54"/>
    </row>
    <row r="329">
      <c r="B329" s="54"/>
      <c r="D329" s="54"/>
      <c r="E329" s="54"/>
    </row>
    <row r="330">
      <c r="B330" s="54"/>
      <c r="D330" s="54"/>
      <c r="E330" s="54"/>
    </row>
    <row r="331">
      <c r="B331" s="54"/>
      <c r="D331" s="54"/>
      <c r="E331" s="54"/>
    </row>
    <row r="332">
      <c r="B332" s="54"/>
      <c r="D332" s="54"/>
      <c r="E332" s="54"/>
    </row>
    <row r="333">
      <c r="B333" s="54"/>
      <c r="D333" s="54"/>
      <c r="E333" s="54"/>
    </row>
    <row r="334">
      <c r="B334" s="54"/>
      <c r="D334" s="54"/>
      <c r="E334" s="54"/>
    </row>
    <row r="335">
      <c r="B335" s="54"/>
      <c r="D335" s="54"/>
      <c r="E335" s="54"/>
    </row>
    <row r="336">
      <c r="B336" s="54"/>
      <c r="D336" s="54"/>
      <c r="E336" s="54"/>
    </row>
    <row r="337">
      <c r="B337" s="54"/>
      <c r="D337" s="54"/>
      <c r="E337" s="54"/>
    </row>
    <row r="338">
      <c r="B338" s="54"/>
      <c r="D338" s="54"/>
      <c r="E338" s="54"/>
    </row>
    <row r="339">
      <c r="B339" s="54"/>
      <c r="D339" s="54"/>
      <c r="E339" s="54"/>
    </row>
    <row r="340">
      <c r="B340" s="54"/>
      <c r="D340" s="54"/>
      <c r="E340" s="54"/>
    </row>
    <row r="341">
      <c r="B341" s="54"/>
      <c r="D341" s="54"/>
      <c r="E341" s="54"/>
    </row>
    <row r="342">
      <c r="B342" s="54"/>
      <c r="D342" s="54"/>
      <c r="E342" s="54"/>
    </row>
    <row r="343">
      <c r="B343" s="54"/>
      <c r="D343" s="54"/>
      <c r="E343" s="54"/>
    </row>
    <row r="344">
      <c r="B344" s="54"/>
      <c r="D344" s="54"/>
      <c r="E344" s="54"/>
    </row>
    <row r="345">
      <c r="B345" s="54"/>
      <c r="D345" s="54"/>
      <c r="E345" s="54"/>
    </row>
    <row r="346">
      <c r="B346" s="54"/>
      <c r="D346" s="54"/>
      <c r="E346" s="54"/>
    </row>
    <row r="347">
      <c r="B347" s="54"/>
      <c r="D347" s="54"/>
      <c r="E347" s="54"/>
    </row>
    <row r="348">
      <c r="B348" s="54"/>
      <c r="D348" s="54"/>
      <c r="E348" s="54"/>
    </row>
    <row r="349">
      <c r="B349" s="54"/>
      <c r="D349" s="54"/>
      <c r="E349" s="54"/>
    </row>
    <row r="350">
      <c r="B350" s="54"/>
      <c r="D350" s="54"/>
      <c r="E350" s="54"/>
    </row>
    <row r="351">
      <c r="B351" s="54"/>
      <c r="D351" s="54"/>
      <c r="E351" s="54"/>
    </row>
    <row r="352">
      <c r="B352" s="54"/>
      <c r="D352" s="54"/>
      <c r="E352" s="54"/>
    </row>
    <row r="353">
      <c r="B353" s="54"/>
      <c r="D353" s="54"/>
      <c r="E353" s="54"/>
    </row>
    <row r="354">
      <c r="B354" s="54"/>
      <c r="D354" s="54"/>
      <c r="E354" s="54"/>
    </row>
    <row r="355">
      <c r="B355" s="54"/>
      <c r="D355" s="54"/>
      <c r="E355" s="54"/>
    </row>
    <row r="356">
      <c r="B356" s="54"/>
      <c r="D356" s="54"/>
      <c r="E356" s="54"/>
    </row>
    <row r="357">
      <c r="B357" s="54"/>
      <c r="D357" s="54"/>
      <c r="E357" s="54"/>
    </row>
    <row r="358">
      <c r="B358" s="54"/>
      <c r="D358" s="54"/>
      <c r="E358" s="54"/>
    </row>
    <row r="359">
      <c r="B359" s="54"/>
      <c r="D359" s="54"/>
      <c r="E359" s="54"/>
    </row>
    <row r="360">
      <c r="B360" s="54"/>
      <c r="D360" s="54"/>
      <c r="E360" s="54"/>
    </row>
    <row r="361">
      <c r="B361" s="54"/>
      <c r="D361" s="54"/>
      <c r="E361" s="54"/>
    </row>
    <row r="362">
      <c r="B362" s="54"/>
      <c r="D362" s="54"/>
      <c r="E362" s="54"/>
    </row>
    <row r="363">
      <c r="B363" s="54"/>
      <c r="D363" s="54"/>
      <c r="E363" s="54"/>
    </row>
    <row r="364">
      <c r="B364" s="54"/>
      <c r="D364" s="54"/>
      <c r="E364" s="54"/>
    </row>
    <row r="365">
      <c r="B365" s="54"/>
      <c r="D365" s="54"/>
      <c r="E365" s="54"/>
    </row>
    <row r="366">
      <c r="B366" s="54"/>
      <c r="D366" s="54"/>
      <c r="E366" s="54"/>
    </row>
    <row r="367">
      <c r="B367" s="54"/>
      <c r="D367" s="54"/>
      <c r="E367" s="54"/>
    </row>
    <row r="368">
      <c r="B368" s="54"/>
      <c r="D368" s="54"/>
      <c r="E368" s="54"/>
    </row>
    <row r="369">
      <c r="B369" s="54"/>
      <c r="D369" s="54"/>
      <c r="E369" s="54"/>
    </row>
    <row r="370">
      <c r="B370" s="54"/>
      <c r="D370" s="54"/>
      <c r="E370" s="54"/>
    </row>
    <row r="371">
      <c r="B371" s="54"/>
      <c r="D371" s="54"/>
      <c r="E371" s="54"/>
    </row>
    <row r="372">
      <c r="B372" s="54"/>
      <c r="D372" s="54"/>
      <c r="E372" s="54"/>
    </row>
    <row r="373">
      <c r="B373" s="54"/>
      <c r="D373" s="54"/>
      <c r="E373" s="54"/>
    </row>
    <row r="374">
      <c r="B374" s="54"/>
      <c r="D374" s="54"/>
      <c r="E374" s="54"/>
    </row>
    <row r="375">
      <c r="B375" s="54"/>
      <c r="D375" s="54"/>
      <c r="E375" s="54"/>
    </row>
    <row r="376">
      <c r="B376" s="54"/>
      <c r="D376" s="54"/>
      <c r="E376" s="54"/>
    </row>
    <row r="377">
      <c r="B377" s="54"/>
      <c r="D377" s="54"/>
      <c r="E377" s="54"/>
    </row>
    <row r="378">
      <c r="B378" s="54"/>
      <c r="D378" s="54"/>
      <c r="E378" s="54"/>
    </row>
    <row r="379">
      <c r="B379" s="54"/>
      <c r="D379" s="54"/>
      <c r="E379" s="54"/>
    </row>
    <row r="380">
      <c r="B380" s="54"/>
      <c r="D380" s="54"/>
      <c r="E380" s="54"/>
    </row>
    <row r="381">
      <c r="B381" s="54"/>
      <c r="D381" s="54"/>
      <c r="E381" s="54"/>
    </row>
    <row r="382">
      <c r="B382" s="54"/>
      <c r="D382" s="54"/>
      <c r="E382" s="54"/>
    </row>
    <row r="383">
      <c r="B383" s="54"/>
      <c r="D383" s="54"/>
      <c r="E383" s="54"/>
    </row>
    <row r="384">
      <c r="B384" s="54"/>
      <c r="D384" s="54"/>
      <c r="E384" s="54"/>
    </row>
    <row r="385">
      <c r="B385" s="54"/>
      <c r="D385" s="54"/>
      <c r="E385" s="54"/>
    </row>
    <row r="386">
      <c r="B386" s="54"/>
      <c r="D386" s="54"/>
      <c r="E386" s="54"/>
    </row>
    <row r="387">
      <c r="B387" s="54"/>
      <c r="D387" s="54"/>
      <c r="E387" s="54"/>
    </row>
    <row r="388">
      <c r="B388" s="54"/>
      <c r="D388" s="54"/>
      <c r="E388" s="54"/>
    </row>
    <row r="389">
      <c r="B389" s="54"/>
      <c r="D389" s="54"/>
      <c r="E389" s="54"/>
    </row>
    <row r="390">
      <c r="B390" s="54"/>
      <c r="D390" s="54"/>
      <c r="E390" s="54"/>
    </row>
    <row r="391">
      <c r="B391" s="54"/>
      <c r="D391" s="54"/>
      <c r="E391" s="54"/>
    </row>
    <row r="392">
      <c r="B392" s="54"/>
      <c r="D392" s="54"/>
      <c r="E392" s="54"/>
    </row>
    <row r="393">
      <c r="B393" s="54"/>
      <c r="D393" s="54"/>
      <c r="E393" s="54"/>
    </row>
    <row r="394">
      <c r="B394" s="54"/>
      <c r="D394" s="54"/>
      <c r="E394" s="54"/>
    </row>
    <row r="395">
      <c r="B395" s="54"/>
      <c r="D395" s="54"/>
      <c r="E395" s="54"/>
    </row>
    <row r="396">
      <c r="B396" s="54"/>
      <c r="D396" s="54"/>
      <c r="E396" s="54"/>
    </row>
    <row r="397">
      <c r="B397" s="54"/>
      <c r="D397" s="54"/>
      <c r="E397" s="54"/>
    </row>
    <row r="398">
      <c r="B398" s="54"/>
      <c r="D398" s="54"/>
      <c r="E398" s="54"/>
    </row>
    <row r="399">
      <c r="B399" s="54"/>
      <c r="D399" s="54"/>
      <c r="E399" s="54"/>
    </row>
    <row r="400">
      <c r="B400" s="54"/>
      <c r="D400" s="54"/>
      <c r="E400" s="54"/>
    </row>
    <row r="401">
      <c r="B401" s="54"/>
      <c r="D401" s="54"/>
      <c r="E401" s="54"/>
    </row>
    <row r="402">
      <c r="B402" s="54"/>
      <c r="D402" s="54"/>
      <c r="E402" s="54"/>
    </row>
    <row r="403">
      <c r="B403" s="54"/>
      <c r="D403" s="54"/>
      <c r="E403" s="54"/>
    </row>
    <row r="404">
      <c r="B404" s="54"/>
      <c r="D404" s="54"/>
      <c r="E404" s="54"/>
    </row>
    <row r="405">
      <c r="B405" s="54"/>
      <c r="D405" s="54"/>
      <c r="E405" s="54"/>
    </row>
    <row r="406">
      <c r="B406" s="54"/>
      <c r="D406" s="54"/>
      <c r="E406" s="54"/>
    </row>
    <row r="407">
      <c r="B407" s="54"/>
      <c r="D407" s="54"/>
      <c r="E407" s="54"/>
    </row>
    <row r="408">
      <c r="B408" s="54"/>
      <c r="D408" s="54"/>
      <c r="E408" s="54"/>
    </row>
    <row r="409">
      <c r="B409" s="54"/>
      <c r="D409" s="54"/>
      <c r="E409" s="54"/>
    </row>
    <row r="410">
      <c r="B410" s="54"/>
      <c r="D410" s="54"/>
      <c r="E410" s="54"/>
    </row>
    <row r="411">
      <c r="B411" s="54"/>
      <c r="D411" s="54"/>
      <c r="E411" s="54"/>
    </row>
    <row r="412">
      <c r="B412" s="54"/>
      <c r="D412" s="54"/>
      <c r="E412" s="54"/>
    </row>
    <row r="413">
      <c r="B413" s="54"/>
      <c r="D413" s="54"/>
      <c r="E413" s="54"/>
    </row>
    <row r="414">
      <c r="B414" s="54"/>
      <c r="D414" s="54"/>
      <c r="E414" s="54"/>
    </row>
    <row r="415">
      <c r="B415" s="54"/>
      <c r="D415" s="54"/>
      <c r="E415" s="54"/>
    </row>
    <row r="416">
      <c r="B416" s="54"/>
      <c r="D416" s="54"/>
      <c r="E416" s="54"/>
    </row>
    <row r="417">
      <c r="B417" s="54"/>
      <c r="D417" s="54"/>
      <c r="E417" s="54"/>
    </row>
    <row r="418">
      <c r="B418" s="54"/>
      <c r="D418" s="54"/>
      <c r="E418" s="54"/>
    </row>
    <row r="419">
      <c r="B419" s="54"/>
      <c r="D419" s="54"/>
      <c r="E419" s="54"/>
    </row>
    <row r="420">
      <c r="B420" s="54"/>
      <c r="D420" s="54"/>
      <c r="E420" s="54"/>
    </row>
    <row r="421">
      <c r="B421" s="54"/>
      <c r="D421" s="54"/>
      <c r="E421" s="54"/>
    </row>
    <row r="422">
      <c r="B422" s="54"/>
      <c r="D422" s="54"/>
      <c r="E422" s="54"/>
    </row>
    <row r="423">
      <c r="B423" s="54"/>
      <c r="D423" s="54"/>
      <c r="E423" s="54"/>
    </row>
    <row r="424">
      <c r="B424" s="54"/>
      <c r="D424" s="54"/>
      <c r="E424" s="54"/>
    </row>
    <row r="425">
      <c r="B425" s="54"/>
      <c r="D425" s="54"/>
      <c r="E425" s="54"/>
    </row>
    <row r="426">
      <c r="B426" s="54"/>
      <c r="D426" s="54"/>
      <c r="E426" s="54"/>
    </row>
    <row r="427">
      <c r="B427" s="54"/>
      <c r="D427" s="54"/>
      <c r="E427" s="54"/>
    </row>
    <row r="428">
      <c r="B428" s="54"/>
      <c r="D428" s="54"/>
      <c r="E428" s="54"/>
    </row>
    <row r="429">
      <c r="B429" s="54"/>
      <c r="D429" s="54"/>
      <c r="E429" s="54"/>
    </row>
    <row r="430">
      <c r="B430" s="54"/>
      <c r="D430" s="54"/>
      <c r="E430" s="54"/>
    </row>
    <row r="431">
      <c r="B431" s="54"/>
      <c r="D431" s="54"/>
      <c r="E431" s="54"/>
    </row>
    <row r="432">
      <c r="B432" s="54"/>
      <c r="D432" s="54"/>
      <c r="E432" s="54"/>
    </row>
    <row r="433">
      <c r="B433" s="54"/>
      <c r="D433" s="54"/>
      <c r="E433" s="54"/>
    </row>
    <row r="434">
      <c r="B434" s="54"/>
      <c r="D434" s="54"/>
      <c r="E434" s="54"/>
    </row>
    <row r="435">
      <c r="B435" s="54"/>
      <c r="D435" s="54"/>
      <c r="E435" s="54"/>
    </row>
    <row r="436">
      <c r="B436" s="54"/>
      <c r="D436" s="54"/>
      <c r="E436" s="54"/>
    </row>
    <row r="437">
      <c r="B437" s="54"/>
      <c r="D437" s="54"/>
      <c r="E437" s="54"/>
    </row>
    <row r="438">
      <c r="B438" s="54"/>
      <c r="D438" s="54"/>
      <c r="E438" s="54"/>
    </row>
    <row r="439">
      <c r="B439" s="54"/>
      <c r="D439" s="54"/>
      <c r="E439" s="54"/>
    </row>
    <row r="440">
      <c r="B440" s="54"/>
      <c r="D440" s="54"/>
      <c r="E440" s="54"/>
    </row>
    <row r="441">
      <c r="B441" s="54"/>
      <c r="D441" s="54"/>
      <c r="E441" s="54"/>
    </row>
    <row r="442">
      <c r="B442" s="54"/>
      <c r="D442" s="54"/>
      <c r="E442" s="54"/>
    </row>
    <row r="443">
      <c r="B443" s="54"/>
      <c r="D443" s="54"/>
      <c r="E443" s="54"/>
    </row>
    <row r="444">
      <c r="B444" s="54"/>
      <c r="D444" s="54"/>
      <c r="E444" s="54"/>
    </row>
    <row r="445">
      <c r="B445" s="54"/>
      <c r="D445" s="54"/>
      <c r="E445" s="54"/>
    </row>
    <row r="446">
      <c r="B446" s="54"/>
      <c r="D446" s="54"/>
      <c r="E446" s="54"/>
    </row>
    <row r="447">
      <c r="B447" s="54"/>
      <c r="D447" s="54"/>
      <c r="E447" s="54"/>
    </row>
    <row r="448">
      <c r="B448" s="54"/>
      <c r="D448" s="54"/>
      <c r="E448" s="54"/>
    </row>
    <row r="449">
      <c r="B449" s="54"/>
      <c r="D449" s="54"/>
      <c r="E449" s="54"/>
    </row>
    <row r="450">
      <c r="B450" s="54"/>
      <c r="D450" s="54"/>
      <c r="E450" s="54"/>
    </row>
    <row r="451">
      <c r="B451" s="54"/>
      <c r="D451" s="54"/>
      <c r="E451" s="54"/>
    </row>
    <row r="452">
      <c r="B452" s="54"/>
      <c r="D452" s="54"/>
      <c r="E452" s="54"/>
    </row>
    <row r="453">
      <c r="B453" s="54"/>
      <c r="D453" s="54"/>
      <c r="E453" s="54"/>
    </row>
    <row r="454">
      <c r="B454" s="54"/>
      <c r="D454" s="54"/>
      <c r="E454" s="54"/>
    </row>
    <row r="455">
      <c r="B455" s="54"/>
      <c r="D455" s="54"/>
      <c r="E455" s="54"/>
    </row>
    <row r="456">
      <c r="B456" s="54"/>
      <c r="D456" s="54"/>
      <c r="E456" s="54"/>
    </row>
    <row r="457">
      <c r="B457" s="54"/>
      <c r="D457" s="54"/>
      <c r="E457" s="54"/>
    </row>
    <row r="458">
      <c r="B458" s="54"/>
      <c r="D458" s="54"/>
      <c r="E458" s="54"/>
    </row>
    <row r="459">
      <c r="B459" s="54"/>
      <c r="D459" s="54"/>
      <c r="E459" s="54"/>
    </row>
    <row r="460">
      <c r="B460" s="54"/>
      <c r="D460" s="54"/>
      <c r="E460" s="54"/>
    </row>
    <row r="461">
      <c r="B461" s="54"/>
      <c r="D461" s="54"/>
      <c r="E461" s="54"/>
    </row>
    <row r="462">
      <c r="B462" s="54"/>
      <c r="D462" s="54"/>
      <c r="E462" s="54"/>
    </row>
    <row r="463">
      <c r="B463" s="54"/>
      <c r="D463" s="54"/>
      <c r="E463" s="54"/>
    </row>
    <row r="464">
      <c r="B464" s="54"/>
      <c r="D464" s="54"/>
      <c r="E464" s="54"/>
    </row>
    <row r="465">
      <c r="B465" s="54"/>
      <c r="D465" s="54"/>
      <c r="E465" s="54"/>
    </row>
    <row r="466">
      <c r="B466" s="54"/>
      <c r="D466" s="54"/>
      <c r="E466" s="54"/>
    </row>
    <row r="467">
      <c r="B467" s="54"/>
      <c r="D467" s="54"/>
      <c r="E467" s="54"/>
    </row>
    <row r="468">
      <c r="B468" s="54"/>
      <c r="D468" s="54"/>
      <c r="E468" s="54"/>
    </row>
    <row r="469">
      <c r="B469" s="54"/>
      <c r="D469" s="54"/>
      <c r="E469" s="54"/>
    </row>
    <row r="470">
      <c r="B470" s="54"/>
      <c r="D470" s="54"/>
      <c r="E470" s="54"/>
    </row>
    <row r="471">
      <c r="B471" s="54"/>
      <c r="D471" s="54"/>
      <c r="E471" s="54"/>
    </row>
    <row r="472">
      <c r="B472" s="54"/>
      <c r="D472" s="54"/>
      <c r="E472" s="54"/>
    </row>
    <row r="473">
      <c r="B473" s="54"/>
      <c r="D473" s="54"/>
      <c r="E473" s="54"/>
    </row>
    <row r="474">
      <c r="B474" s="54"/>
      <c r="D474" s="54"/>
      <c r="E474" s="54"/>
    </row>
    <row r="475">
      <c r="B475" s="54"/>
      <c r="D475" s="54"/>
      <c r="E475" s="54"/>
    </row>
    <row r="476">
      <c r="B476" s="54"/>
      <c r="D476" s="54"/>
      <c r="E476" s="54"/>
    </row>
    <row r="477">
      <c r="B477" s="54"/>
      <c r="D477" s="54"/>
      <c r="E477" s="54"/>
    </row>
    <row r="478">
      <c r="B478" s="54"/>
      <c r="D478" s="54"/>
      <c r="E478" s="54"/>
    </row>
    <row r="479">
      <c r="B479" s="54"/>
      <c r="D479" s="54"/>
      <c r="E479" s="54"/>
    </row>
    <row r="480">
      <c r="B480" s="54"/>
      <c r="D480" s="54"/>
      <c r="E480" s="54"/>
    </row>
    <row r="481">
      <c r="B481" s="54"/>
      <c r="D481" s="54"/>
      <c r="E481" s="54"/>
    </row>
    <row r="482">
      <c r="B482" s="54"/>
      <c r="D482" s="54"/>
      <c r="E482" s="54"/>
    </row>
    <row r="483">
      <c r="B483" s="54"/>
      <c r="D483" s="54"/>
      <c r="E483" s="54"/>
    </row>
    <row r="484">
      <c r="B484" s="54"/>
      <c r="D484" s="54"/>
      <c r="E484" s="54"/>
    </row>
    <row r="485">
      <c r="B485" s="54"/>
      <c r="D485" s="54"/>
      <c r="E485" s="54"/>
    </row>
    <row r="486">
      <c r="B486" s="54"/>
      <c r="D486" s="54"/>
      <c r="E486" s="54"/>
    </row>
    <row r="487">
      <c r="B487" s="54"/>
      <c r="D487" s="54"/>
      <c r="E487" s="54"/>
    </row>
    <row r="488">
      <c r="B488" s="54"/>
      <c r="D488" s="54"/>
      <c r="E488" s="54"/>
    </row>
    <row r="489">
      <c r="B489" s="54"/>
      <c r="D489" s="54"/>
      <c r="E489" s="54"/>
    </row>
    <row r="490">
      <c r="B490" s="54"/>
      <c r="D490" s="54"/>
      <c r="E490" s="54"/>
    </row>
    <row r="491">
      <c r="B491" s="54"/>
      <c r="D491" s="54"/>
      <c r="E491" s="54"/>
    </row>
    <row r="492">
      <c r="B492" s="54"/>
      <c r="D492" s="54"/>
      <c r="E492" s="54"/>
    </row>
    <row r="493">
      <c r="B493" s="54"/>
      <c r="D493" s="54"/>
      <c r="E493" s="54"/>
    </row>
    <row r="494">
      <c r="B494" s="54"/>
      <c r="D494" s="54"/>
      <c r="E494" s="54"/>
    </row>
    <row r="495">
      <c r="B495" s="54"/>
      <c r="D495" s="54"/>
      <c r="E495" s="54"/>
    </row>
    <row r="496">
      <c r="B496" s="54"/>
      <c r="D496" s="54"/>
      <c r="E496" s="54"/>
    </row>
    <row r="497">
      <c r="B497" s="54"/>
      <c r="D497" s="54"/>
      <c r="E497" s="54"/>
    </row>
    <row r="498">
      <c r="B498" s="54"/>
      <c r="D498" s="54"/>
      <c r="E498" s="54"/>
    </row>
    <row r="499">
      <c r="B499" s="54"/>
      <c r="D499" s="54"/>
      <c r="E499" s="54"/>
    </row>
    <row r="500">
      <c r="B500" s="54"/>
      <c r="D500" s="54"/>
      <c r="E500" s="54"/>
    </row>
    <row r="501">
      <c r="B501" s="54"/>
      <c r="D501" s="54"/>
      <c r="E501" s="54"/>
    </row>
    <row r="502">
      <c r="B502" s="54"/>
      <c r="D502" s="54"/>
      <c r="E502" s="54"/>
    </row>
    <row r="503">
      <c r="B503" s="54"/>
      <c r="D503" s="54"/>
      <c r="E503" s="54"/>
    </row>
    <row r="504">
      <c r="B504" s="54"/>
      <c r="D504" s="54"/>
      <c r="E504" s="54"/>
    </row>
    <row r="505">
      <c r="B505" s="54"/>
      <c r="D505" s="54"/>
      <c r="E505" s="54"/>
    </row>
    <row r="506">
      <c r="B506" s="54"/>
      <c r="D506" s="54"/>
      <c r="E506" s="54"/>
    </row>
    <row r="507">
      <c r="B507" s="54"/>
      <c r="D507" s="54"/>
      <c r="E507" s="54"/>
    </row>
    <row r="508">
      <c r="B508" s="54"/>
      <c r="D508" s="54"/>
      <c r="E508" s="54"/>
    </row>
    <row r="509">
      <c r="B509" s="54"/>
      <c r="D509" s="54"/>
      <c r="E509" s="54"/>
    </row>
    <row r="510">
      <c r="B510" s="54"/>
      <c r="D510" s="54"/>
      <c r="E510" s="54"/>
    </row>
    <row r="511">
      <c r="B511" s="54"/>
      <c r="D511" s="54"/>
      <c r="E511" s="54"/>
    </row>
    <row r="512">
      <c r="B512" s="54"/>
      <c r="D512" s="54"/>
      <c r="E512" s="54"/>
    </row>
    <row r="513">
      <c r="B513" s="54"/>
      <c r="D513" s="54"/>
      <c r="E513" s="54"/>
    </row>
    <row r="514">
      <c r="B514" s="54"/>
      <c r="D514" s="54"/>
      <c r="E514" s="54"/>
    </row>
    <row r="515">
      <c r="B515" s="54"/>
      <c r="D515" s="54"/>
      <c r="E515" s="54"/>
    </row>
    <row r="516">
      <c r="B516" s="54"/>
      <c r="D516" s="54"/>
      <c r="E516" s="54"/>
    </row>
    <row r="517">
      <c r="B517" s="54"/>
      <c r="D517" s="54"/>
      <c r="E517" s="54"/>
    </row>
    <row r="518">
      <c r="B518" s="54"/>
      <c r="D518" s="54"/>
      <c r="E518" s="54"/>
    </row>
    <row r="519">
      <c r="B519" s="54"/>
      <c r="D519" s="54"/>
      <c r="E519" s="54"/>
    </row>
    <row r="520">
      <c r="B520" s="54"/>
      <c r="D520" s="54"/>
      <c r="E520" s="54"/>
    </row>
    <row r="521">
      <c r="B521" s="54"/>
      <c r="D521" s="54"/>
      <c r="E521" s="54"/>
    </row>
    <row r="522">
      <c r="B522" s="54"/>
      <c r="D522" s="54"/>
      <c r="E522" s="54"/>
    </row>
    <row r="523">
      <c r="B523" s="54"/>
      <c r="D523" s="54"/>
      <c r="E523" s="54"/>
    </row>
    <row r="524">
      <c r="B524" s="54"/>
      <c r="D524" s="54"/>
      <c r="E524" s="54"/>
    </row>
    <row r="525">
      <c r="B525" s="54"/>
      <c r="D525" s="54"/>
      <c r="E525" s="54"/>
    </row>
    <row r="526">
      <c r="B526" s="54"/>
      <c r="D526" s="54"/>
      <c r="E526" s="54"/>
    </row>
    <row r="527">
      <c r="B527" s="54"/>
      <c r="D527" s="54"/>
      <c r="E527" s="54"/>
    </row>
    <row r="528">
      <c r="B528" s="54"/>
      <c r="D528" s="54"/>
      <c r="E528" s="54"/>
    </row>
    <row r="529">
      <c r="B529" s="54"/>
      <c r="D529" s="54"/>
      <c r="E529" s="54"/>
    </row>
    <row r="530">
      <c r="B530" s="54"/>
      <c r="D530" s="54"/>
      <c r="E530" s="54"/>
    </row>
    <row r="531">
      <c r="B531" s="54"/>
      <c r="D531" s="54"/>
      <c r="E531" s="54"/>
    </row>
    <row r="532">
      <c r="B532" s="54"/>
      <c r="D532" s="54"/>
      <c r="E532" s="54"/>
    </row>
    <row r="533">
      <c r="B533" s="54"/>
      <c r="D533" s="54"/>
      <c r="E533" s="54"/>
    </row>
    <row r="534">
      <c r="B534" s="54"/>
      <c r="D534" s="54"/>
      <c r="E534" s="54"/>
    </row>
    <row r="535">
      <c r="B535" s="54"/>
      <c r="D535" s="54"/>
      <c r="E535" s="54"/>
    </row>
    <row r="536">
      <c r="B536" s="54"/>
      <c r="D536" s="54"/>
      <c r="E536" s="54"/>
    </row>
    <row r="537">
      <c r="B537" s="54"/>
      <c r="D537" s="54"/>
      <c r="E537" s="54"/>
    </row>
    <row r="538">
      <c r="B538" s="54"/>
      <c r="D538" s="54"/>
      <c r="E538" s="54"/>
    </row>
    <row r="539">
      <c r="B539" s="54"/>
      <c r="D539" s="54"/>
      <c r="E539" s="54"/>
    </row>
    <row r="540">
      <c r="B540" s="54"/>
      <c r="D540" s="54"/>
      <c r="E540" s="54"/>
    </row>
    <row r="541">
      <c r="B541" s="54"/>
      <c r="D541" s="54"/>
      <c r="E541" s="54"/>
    </row>
    <row r="542">
      <c r="B542" s="54"/>
      <c r="D542" s="54"/>
      <c r="E542" s="54"/>
    </row>
    <row r="543">
      <c r="B543" s="54"/>
      <c r="D543" s="54"/>
      <c r="E543" s="54"/>
    </row>
    <row r="544">
      <c r="B544" s="54"/>
      <c r="D544" s="54"/>
      <c r="E544" s="54"/>
    </row>
    <row r="545">
      <c r="B545" s="54"/>
      <c r="D545" s="54"/>
      <c r="E545" s="54"/>
    </row>
    <row r="546">
      <c r="B546" s="54"/>
      <c r="D546" s="54"/>
      <c r="E546" s="54"/>
    </row>
    <row r="547">
      <c r="B547" s="54"/>
      <c r="D547" s="54"/>
      <c r="E547" s="54"/>
    </row>
    <row r="548">
      <c r="B548" s="54"/>
      <c r="D548" s="54"/>
      <c r="E548" s="54"/>
    </row>
    <row r="549">
      <c r="B549" s="54"/>
      <c r="D549" s="54"/>
      <c r="E549" s="54"/>
    </row>
    <row r="550">
      <c r="B550" s="54"/>
      <c r="D550" s="54"/>
      <c r="E550" s="54"/>
    </row>
    <row r="551">
      <c r="B551" s="54"/>
      <c r="D551" s="54"/>
      <c r="E551" s="54"/>
    </row>
    <row r="552">
      <c r="B552" s="54"/>
      <c r="D552" s="54"/>
      <c r="E552" s="54"/>
    </row>
    <row r="553">
      <c r="B553" s="54"/>
      <c r="D553" s="54"/>
      <c r="E553" s="54"/>
    </row>
    <row r="554">
      <c r="B554" s="54"/>
      <c r="D554" s="54"/>
      <c r="E554" s="54"/>
    </row>
    <row r="555">
      <c r="B555" s="54"/>
      <c r="D555" s="54"/>
      <c r="E555" s="54"/>
    </row>
    <row r="556">
      <c r="B556" s="54"/>
      <c r="D556" s="54"/>
      <c r="E556" s="54"/>
    </row>
    <row r="557">
      <c r="B557" s="54"/>
      <c r="D557" s="54"/>
      <c r="E557" s="54"/>
    </row>
    <row r="558">
      <c r="B558" s="54"/>
      <c r="D558" s="54"/>
      <c r="E558" s="54"/>
    </row>
    <row r="559">
      <c r="B559" s="54"/>
      <c r="D559" s="54"/>
      <c r="E559" s="54"/>
    </row>
    <row r="560">
      <c r="B560" s="54"/>
      <c r="D560" s="54"/>
      <c r="E560" s="54"/>
    </row>
    <row r="561">
      <c r="B561" s="54"/>
      <c r="D561" s="54"/>
      <c r="E561" s="54"/>
    </row>
    <row r="562">
      <c r="B562" s="54"/>
      <c r="D562" s="54"/>
      <c r="E562" s="54"/>
    </row>
    <row r="563">
      <c r="B563" s="54"/>
      <c r="D563" s="54"/>
      <c r="E563" s="54"/>
    </row>
    <row r="564">
      <c r="B564" s="54"/>
      <c r="D564" s="54"/>
      <c r="E564" s="54"/>
    </row>
    <row r="565">
      <c r="B565" s="54"/>
      <c r="D565" s="54"/>
      <c r="E565" s="54"/>
    </row>
    <row r="566">
      <c r="B566" s="54"/>
      <c r="D566" s="54"/>
      <c r="E566" s="54"/>
    </row>
    <row r="567">
      <c r="B567" s="54"/>
      <c r="D567" s="54"/>
      <c r="E567" s="54"/>
    </row>
    <row r="568">
      <c r="B568" s="54"/>
      <c r="D568" s="54"/>
      <c r="E568" s="54"/>
    </row>
    <row r="569">
      <c r="B569" s="54"/>
      <c r="D569" s="54"/>
      <c r="E569" s="54"/>
    </row>
    <row r="570">
      <c r="B570" s="54"/>
      <c r="D570" s="54"/>
      <c r="E570" s="54"/>
    </row>
    <row r="571">
      <c r="B571" s="54"/>
      <c r="D571" s="54"/>
      <c r="E571" s="54"/>
    </row>
    <row r="572">
      <c r="B572" s="54"/>
      <c r="D572" s="54"/>
      <c r="E572" s="54"/>
    </row>
    <row r="573">
      <c r="B573" s="54"/>
      <c r="D573" s="54"/>
      <c r="E573" s="54"/>
    </row>
    <row r="574">
      <c r="B574" s="54"/>
      <c r="D574" s="54"/>
      <c r="E574" s="54"/>
    </row>
    <row r="575">
      <c r="B575" s="54"/>
      <c r="D575" s="54"/>
      <c r="E575" s="54"/>
    </row>
    <row r="576">
      <c r="B576" s="54"/>
      <c r="D576" s="54"/>
      <c r="E576" s="54"/>
    </row>
    <row r="577">
      <c r="B577" s="54"/>
      <c r="D577" s="54"/>
      <c r="E577" s="54"/>
    </row>
    <row r="578">
      <c r="B578" s="54"/>
      <c r="D578" s="54"/>
      <c r="E578" s="54"/>
    </row>
    <row r="579">
      <c r="B579" s="54"/>
      <c r="D579" s="54"/>
      <c r="E579" s="54"/>
    </row>
    <row r="580">
      <c r="B580" s="54"/>
      <c r="D580" s="54"/>
      <c r="E580" s="54"/>
    </row>
    <row r="581">
      <c r="B581" s="54"/>
      <c r="D581" s="54"/>
      <c r="E581" s="54"/>
    </row>
    <row r="582">
      <c r="B582" s="54"/>
      <c r="D582" s="54"/>
      <c r="E582" s="54"/>
    </row>
    <row r="583">
      <c r="B583" s="54"/>
      <c r="D583" s="54"/>
      <c r="E583" s="54"/>
    </row>
    <row r="584">
      <c r="B584" s="54"/>
      <c r="D584" s="54"/>
      <c r="E584" s="54"/>
    </row>
    <row r="585">
      <c r="B585" s="54"/>
      <c r="D585" s="54"/>
      <c r="E585" s="54"/>
    </row>
    <row r="586">
      <c r="B586" s="54"/>
      <c r="D586" s="54"/>
      <c r="E586" s="54"/>
    </row>
    <row r="587">
      <c r="B587" s="54"/>
      <c r="D587" s="54"/>
      <c r="E587" s="54"/>
    </row>
    <row r="588">
      <c r="B588" s="54"/>
      <c r="D588" s="54"/>
      <c r="E588" s="54"/>
    </row>
    <row r="589">
      <c r="B589" s="54"/>
      <c r="D589" s="54"/>
      <c r="E589" s="54"/>
    </row>
    <row r="590">
      <c r="B590" s="54"/>
      <c r="D590" s="54"/>
      <c r="E590" s="54"/>
    </row>
    <row r="591">
      <c r="B591" s="54"/>
      <c r="D591" s="54"/>
      <c r="E591" s="54"/>
    </row>
    <row r="592">
      <c r="B592" s="54"/>
      <c r="D592" s="54"/>
      <c r="E592" s="54"/>
    </row>
    <row r="593">
      <c r="B593" s="54"/>
      <c r="D593" s="54"/>
      <c r="E593" s="54"/>
    </row>
    <row r="594">
      <c r="B594" s="54"/>
      <c r="D594" s="54"/>
      <c r="E594" s="54"/>
    </row>
    <row r="595">
      <c r="B595" s="54"/>
      <c r="D595" s="54"/>
      <c r="E595" s="54"/>
    </row>
    <row r="596">
      <c r="B596" s="54"/>
      <c r="D596" s="54"/>
      <c r="E596" s="54"/>
    </row>
    <row r="597">
      <c r="B597" s="54"/>
      <c r="D597" s="54"/>
      <c r="E597" s="54"/>
    </row>
    <row r="598">
      <c r="B598" s="54"/>
      <c r="D598" s="54"/>
      <c r="E598" s="54"/>
    </row>
    <row r="599">
      <c r="B599" s="54"/>
      <c r="D599" s="54"/>
      <c r="E599" s="54"/>
    </row>
    <row r="600">
      <c r="B600" s="54"/>
      <c r="D600" s="54"/>
      <c r="E600" s="54"/>
    </row>
    <row r="601">
      <c r="B601" s="54"/>
      <c r="D601" s="54"/>
      <c r="E601" s="54"/>
    </row>
    <row r="602">
      <c r="B602" s="54"/>
      <c r="D602" s="54"/>
      <c r="E602" s="54"/>
    </row>
    <row r="603">
      <c r="B603" s="54"/>
      <c r="D603" s="54"/>
      <c r="E603" s="54"/>
    </row>
    <row r="604">
      <c r="B604" s="54"/>
      <c r="D604" s="54"/>
      <c r="E604" s="54"/>
    </row>
    <row r="605">
      <c r="B605" s="54"/>
      <c r="D605" s="54"/>
      <c r="E605" s="54"/>
    </row>
    <row r="606">
      <c r="B606" s="54"/>
      <c r="D606" s="54"/>
      <c r="E606" s="54"/>
    </row>
    <row r="607">
      <c r="B607" s="54"/>
      <c r="D607" s="54"/>
      <c r="E607" s="54"/>
    </row>
    <row r="608">
      <c r="B608" s="54"/>
      <c r="D608" s="54"/>
      <c r="E608" s="54"/>
    </row>
    <row r="609">
      <c r="B609" s="54"/>
      <c r="D609" s="54"/>
      <c r="E609" s="54"/>
    </row>
    <row r="610">
      <c r="B610" s="54"/>
      <c r="D610" s="54"/>
      <c r="E610" s="54"/>
    </row>
    <row r="611">
      <c r="B611" s="54"/>
      <c r="D611" s="54"/>
      <c r="E611" s="54"/>
    </row>
    <row r="612">
      <c r="B612" s="54"/>
      <c r="D612" s="54"/>
      <c r="E612" s="54"/>
    </row>
    <row r="613">
      <c r="B613" s="54"/>
      <c r="D613" s="54"/>
      <c r="E613" s="54"/>
    </row>
    <row r="614">
      <c r="B614" s="54"/>
      <c r="D614" s="54"/>
      <c r="E614" s="54"/>
    </row>
    <row r="615">
      <c r="B615" s="54"/>
      <c r="D615" s="54"/>
      <c r="E615" s="54"/>
    </row>
    <row r="616">
      <c r="B616" s="54"/>
      <c r="D616" s="54"/>
      <c r="E616" s="54"/>
    </row>
    <row r="617">
      <c r="B617" s="54"/>
      <c r="D617" s="54"/>
      <c r="E617" s="54"/>
    </row>
    <row r="618">
      <c r="B618" s="54"/>
      <c r="D618" s="54"/>
      <c r="E618" s="54"/>
    </row>
    <row r="619">
      <c r="B619" s="54"/>
      <c r="D619" s="54"/>
      <c r="E619" s="54"/>
    </row>
    <row r="620">
      <c r="B620" s="54"/>
      <c r="D620" s="54"/>
      <c r="E620" s="54"/>
    </row>
    <row r="621">
      <c r="B621" s="54"/>
      <c r="D621" s="54"/>
      <c r="E621" s="54"/>
    </row>
    <row r="622">
      <c r="B622" s="54"/>
      <c r="D622" s="54"/>
      <c r="E622" s="54"/>
    </row>
    <row r="623">
      <c r="B623" s="54"/>
      <c r="D623" s="54"/>
      <c r="E623" s="54"/>
    </row>
    <row r="624">
      <c r="B624" s="54"/>
      <c r="D624" s="54"/>
      <c r="E624" s="54"/>
    </row>
    <row r="625">
      <c r="B625" s="54"/>
      <c r="D625" s="54"/>
      <c r="E625" s="54"/>
    </row>
    <row r="626">
      <c r="B626" s="54"/>
      <c r="D626" s="54"/>
      <c r="E626" s="54"/>
    </row>
    <row r="627">
      <c r="B627" s="54"/>
      <c r="D627" s="54"/>
      <c r="E627" s="54"/>
    </row>
    <row r="628">
      <c r="B628" s="54"/>
      <c r="D628" s="54"/>
      <c r="E628" s="54"/>
    </row>
    <row r="629">
      <c r="B629" s="54"/>
      <c r="D629" s="54"/>
      <c r="E629" s="54"/>
    </row>
    <row r="630">
      <c r="B630" s="54"/>
      <c r="D630" s="54"/>
      <c r="E630" s="54"/>
    </row>
    <row r="631">
      <c r="B631" s="54"/>
      <c r="D631" s="54"/>
      <c r="E631" s="54"/>
    </row>
    <row r="632">
      <c r="B632" s="54"/>
      <c r="D632" s="54"/>
      <c r="E632" s="54"/>
    </row>
    <row r="633">
      <c r="B633" s="54"/>
      <c r="D633" s="54"/>
      <c r="E633" s="54"/>
    </row>
    <row r="634">
      <c r="B634" s="54"/>
      <c r="D634" s="54"/>
      <c r="E634" s="54"/>
    </row>
    <row r="635">
      <c r="B635" s="54"/>
      <c r="D635" s="54"/>
      <c r="E635" s="54"/>
    </row>
    <row r="636">
      <c r="B636" s="54"/>
      <c r="D636" s="54"/>
      <c r="E636" s="54"/>
    </row>
    <row r="637">
      <c r="B637" s="54"/>
      <c r="D637" s="54"/>
      <c r="E637" s="54"/>
    </row>
    <row r="638">
      <c r="B638" s="54"/>
      <c r="D638" s="54"/>
      <c r="E638" s="54"/>
    </row>
    <row r="639">
      <c r="B639" s="54"/>
      <c r="D639" s="54"/>
      <c r="E639" s="54"/>
    </row>
    <row r="640">
      <c r="B640" s="54"/>
      <c r="D640" s="54"/>
      <c r="E640" s="54"/>
    </row>
    <row r="641">
      <c r="B641" s="54"/>
      <c r="D641" s="54"/>
      <c r="E641" s="54"/>
    </row>
    <row r="642">
      <c r="B642" s="54"/>
      <c r="D642" s="54"/>
      <c r="E642" s="54"/>
    </row>
    <row r="643">
      <c r="B643" s="54"/>
      <c r="D643" s="54"/>
      <c r="E643" s="54"/>
    </row>
    <row r="644">
      <c r="B644" s="54"/>
      <c r="D644" s="54"/>
      <c r="E644" s="54"/>
    </row>
    <row r="645">
      <c r="B645" s="54"/>
      <c r="D645" s="54"/>
      <c r="E645" s="54"/>
    </row>
    <row r="646">
      <c r="B646" s="54"/>
      <c r="D646" s="54"/>
      <c r="E646" s="54"/>
    </row>
    <row r="647">
      <c r="B647" s="54"/>
      <c r="D647" s="54"/>
      <c r="E647" s="54"/>
    </row>
    <row r="648">
      <c r="B648" s="54"/>
      <c r="D648" s="54"/>
      <c r="E648" s="54"/>
    </row>
    <row r="649">
      <c r="B649" s="54"/>
      <c r="D649" s="54"/>
      <c r="E649" s="54"/>
    </row>
    <row r="650">
      <c r="B650" s="54"/>
      <c r="D650" s="54"/>
      <c r="E650" s="54"/>
    </row>
    <row r="651">
      <c r="B651" s="54"/>
      <c r="D651" s="54"/>
      <c r="E651" s="54"/>
    </row>
    <row r="652">
      <c r="B652" s="54"/>
      <c r="D652" s="54"/>
      <c r="E652" s="54"/>
    </row>
    <row r="653">
      <c r="B653" s="54"/>
      <c r="D653" s="54"/>
      <c r="E653" s="54"/>
    </row>
    <row r="654">
      <c r="B654" s="54"/>
      <c r="D654" s="54"/>
      <c r="E654" s="54"/>
    </row>
    <row r="655">
      <c r="B655" s="54"/>
      <c r="D655" s="54"/>
      <c r="E655" s="54"/>
    </row>
    <row r="656">
      <c r="B656" s="54"/>
      <c r="D656" s="54"/>
      <c r="E656" s="54"/>
    </row>
    <row r="657">
      <c r="B657" s="54"/>
      <c r="D657" s="54"/>
      <c r="E657" s="54"/>
    </row>
    <row r="658">
      <c r="B658" s="54"/>
      <c r="D658" s="54"/>
      <c r="E658" s="54"/>
    </row>
    <row r="659">
      <c r="B659" s="54"/>
      <c r="D659" s="54"/>
      <c r="E659" s="54"/>
    </row>
    <row r="660">
      <c r="B660" s="54"/>
      <c r="D660" s="54"/>
      <c r="E660" s="54"/>
    </row>
    <row r="661">
      <c r="B661" s="54"/>
      <c r="D661" s="54"/>
      <c r="E661" s="54"/>
    </row>
    <row r="662">
      <c r="B662" s="54"/>
      <c r="D662" s="54"/>
      <c r="E662" s="54"/>
    </row>
    <row r="663">
      <c r="B663" s="54"/>
      <c r="D663" s="54"/>
      <c r="E663" s="54"/>
    </row>
    <row r="664">
      <c r="B664" s="54"/>
      <c r="D664" s="54"/>
      <c r="E664" s="54"/>
    </row>
    <row r="665">
      <c r="B665" s="54"/>
      <c r="D665" s="54"/>
      <c r="E665" s="54"/>
    </row>
    <row r="666">
      <c r="B666" s="54"/>
      <c r="D666" s="54"/>
      <c r="E666" s="54"/>
    </row>
    <row r="667">
      <c r="B667" s="54"/>
      <c r="D667" s="54"/>
      <c r="E667" s="54"/>
    </row>
    <row r="668">
      <c r="B668" s="54"/>
      <c r="D668" s="54"/>
      <c r="E668" s="54"/>
    </row>
    <row r="669">
      <c r="B669" s="54"/>
      <c r="D669" s="54"/>
      <c r="E669" s="54"/>
    </row>
    <row r="670">
      <c r="B670" s="54"/>
      <c r="D670" s="54"/>
      <c r="E670" s="54"/>
    </row>
    <row r="671">
      <c r="B671" s="54"/>
      <c r="D671" s="54"/>
      <c r="E671" s="54"/>
    </row>
    <row r="672">
      <c r="B672" s="54"/>
      <c r="D672" s="54"/>
      <c r="E672" s="54"/>
    </row>
    <row r="673">
      <c r="B673" s="54"/>
      <c r="D673" s="54"/>
      <c r="E673" s="54"/>
    </row>
    <row r="674">
      <c r="B674" s="54"/>
      <c r="D674" s="54"/>
      <c r="E674" s="54"/>
    </row>
    <row r="675">
      <c r="B675" s="54"/>
      <c r="D675" s="54"/>
      <c r="E675" s="54"/>
    </row>
    <row r="676">
      <c r="B676" s="54"/>
      <c r="D676" s="54"/>
      <c r="E676" s="54"/>
    </row>
    <row r="677">
      <c r="B677" s="54"/>
      <c r="D677" s="54"/>
      <c r="E677" s="54"/>
    </row>
    <row r="678">
      <c r="B678" s="54"/>
      <c r="D678" s="54"/>
      <c r="E678" s="54"/>
    </row>
    <row r="679">
      <c r="B679" s="54"/>
      <c r="D679" s="54"/>
      <c r="E679" s="54"/>
    </row>
    <row r="680">
      <c r="B680" s="54"/>
      <c r="D680" s="54"/>
      <c r="E680" s="54"/>
    </row>
    <row r="681">
      <c r="B681" s="54"/>
      <c r="D681" s="54"/>
      <c r="E681" s="54"/>
    </row>
    <row r="682">
      <c r="B682" s="54"/>
      <c r="D682" s="54"/>
      <c r="E682" s="54"/>
    </row>
    <row r="683">
      <c r="B683" s="54"/>
      <c r="D683" s="54"/>
      <c r="E683" s="54"/>
    </row>
    <row r="684">
      <c r="B684" s="54"/>
      <c r="D684" s="54"/>
      <c r="E684" s="54"/>
    </row>
    <row r="685">
      <c r="B685" s="54"/>
      <c r="D685" s="54"/>
      <c r="E685" s="54"/>
    </row>
    <row r="686">
      <c r="B686" s="54"/>
      <c r="D686" s="54"/>
      <c r="E686" s="54"/>
    </row>
    <row r="687">
      <c r="B687" s="54"/>
      <c r="D687" s="54"/>
      <c r="E687" s="54"/>
    </row>
    <row r="688">
      <c r="B688" s="54"/>
      <c r="D688" s="54"/>
      <c r="E688" s="54"/>
    </row>
    <row r="689">
      <c r="B689" s="54"/>
      <c r="D689" s="54"/>
      <c r="E689" s="54"/>
    </row>
    <row r="690">
      <c r="B690" s="54"/>
      <c r="D690" s="54"/>
      <c r="E690" s="54"/>
    </row>
    <row r="691">
      <c r="B691" s="54"/>
      <c r="D691" s="54"/>
      <c r="E691" s="54"/>
    </row>
    <row r="692">
      <c r="B692" s="54"/>
      <c r="D692" s="54"/>
      <c r="E692" s="54"/>
    </row>
    <row r="693">
      <c r="B693" s="54"/>
      <c r="D693" s="54"/>
      <c r="E693" s="54"/>
    </row>
    <row r="694">
      <c r="B694" s="54"/>
      <c r="D694" s="54"/>
      <c r="E694" s="54"/>
    </row>
    <row r="695">
      <c r="B695" s="54"/>
      <c r="D695" s="54"/>
      <c r="E695" s="54"/>
    </row>
    <row r="696">
      <c r="B696" s="54"/>
      <c r="D696" s="54"/>
      <c r="E696" s="54"/>
    </row>
    <row r="697">
      <c r="B697" s="54"/>
      <c r="D697" s="54"/>
      <c r="E697" s="54"/>
    </row>
    <row r="698">
      <c r="B698" s="54"/>
      <c r="D698" s="54"/>
      <c r="E698" s="54"/>
    </row>
    <row r="699">
      <c r="B699" s="54"/>
      <c r="D699" s="54"/>
      <c r="E699" s="54"/>
    </row>
    <row r="700">
      <c r="B700" s="54"/>
      <c r="D700" s="54"/>
      <c r="E700" s="54"/>
    </row>
    <row r="701">
      <c r="B701" s="54"/>
      <c r="D701" s="54"/>
      <c r="E701" s="54"/>
    </row>
    <row r="702">
      <c r="B702" s="54"/>
      <c r="D702" s="54"/>
      <c r="E702" s="54"/>
    </row>
    <row r="703">
      <c r="B703" s="54"/>
      <c r="D703" s="54"/>
      <c r="E703" s="54"/>
    </row>
    <row r="704">
      <c r="B704" s="54"/>
      <c r="D704" s="54"/>
      <c r="E704" s="54"/>
    </row>
    <row r="705">
      <c r="B705" s="54"/>
      <c r="D705" s="54"/>
      <c r="E705" s="54"/>
    </row>
    <row r="706">
      <c r="B706" s="54"/>
      <c r="D706" s="54"/>
      <c r="E706" s="54"/>
    </row>
    <row r="707">
      <c r="B707" s="54"/>
      <c r="D707" s="54"/>
      <c r="E707" s="54"/>
    </row>
    <row r="708">
      <c r="B708" s="54"/>
      <c r="D708" s="54"/>
      <c r="E708" s="54"/>
    </row>
    <row r="709">
      <c r="B709" s="54"/>
      <c r="D709" s="54"/>
      <c r="E709" s="54"/>
    </row>
    <row r="710">
      <c r="B710" s="54"/>
      <c r="D710" s="54"/>
      <c r="E710" s="54"/>
    </row>
    <row r="711">
      <c r="B711" s="54"/>
      <c r="D711" s="54"/>
      <c r="E711" s="54"/>
    </row>
    <row r="712">
      <c r="B712" s="54"/>
      <c r="D712" s="54"/>
      <c r="E712" s="54"/>
    </row>
    <row r="713">
      <c r="B713" s="54"/>
      <c r="D713" s="54"/>
      <c r="E713" s="54"/>
    </row>
    <row r="714">
      <c r="B714" s="54"/>
      <c r="D714" s="54"/>
      <c r="E714" s="54"/>
    </row>
    <row r="715">
      <c r="B715" s="54"/>
      <c r="D715" s="54"/>
      <c r="E715" s="54"/>
    </row>
    <row r="716">
      <c r="B716" s="54"/>
      <c r="D716" s="54"/>
      <c r="E716" s="54"/>
    </row>
    <row r="717">
      <c r="B717" s="54"/>
      <c r="D717" s="54"/>
      <c r="E717" s="54"/>
    </row>
    <row r="718">
      <c r="B718" s="54"/>
      <c r="D718" s="54"/>
      <c r="E718" s="54"/>
    </row>
    <row r="719">
      <c r="B719" s="54"/>
      <c r="D719" s="54"/>
      <c r="E719" s="54"/>
    </row>
    <row r="720">
      <c r="B720" s="54"/>
      <c r="D720" s="54"/>
      <c r="E720" s="54"/>
    </row>
    <row r="721">
      <c r="B721" s="54"/>
      <c r="D721" s="54"/>
      <c r="E721" s="54"/>
    </row>
    <row r="722">
      <c r="B722" s="54"/>
      <c r="D722" s="54"/>
      <c r="E722" s="54"/>
    </row>
    <row r="723">
      <c r="B723" s="54"/>
      <c r="D723" s="54"/>
      <c r="E723" s="54"/>
    </row>
    <row r="724">
      <c r="B724" s="54"/>
      <c r="D724" s="54"/>
      <c r="E724" s="54"/>
    </row>
    <row r="725">
      <c r="B725" s="54"/>
      <c r="D725" s="54"/>
      <c r="E725" s="54"/>
    </row>
    <row r="726">
      <c r="B726" s="54"/>
      <c r="D726" s="54"/>
      <c r="E726" s="54"/>
    </row>
    <row r="727">
      <c r="B727" s="54"/>
      <c r="D727" s="54"/>
      <c r="E727" s="54"/>
    </row>
    <row r="728">
      <c r="B728" s="54"/>
      <c r="D728" s="54"/>
      <c r="E728" s="54"/>
    </row>
    <row r="729">
      <c r="B729" s="54"/>
      <c r="D729" s="54"/>
      <c r="E729" s="54"/>
    </row>
    <row r="730">
      <c r="B730" s="54"/>
      <c r="D730" s="54"/>
      <c r="E730" s="54"/>
    </row>
    <row r="731">
      <c r="B731" s="54"/>
      <c r="D731" s="54"/>
      <c r="E731" s="54"/>
    </row>
    <row r="732">
      <c r="B732" s="54"/>
      <c r="D732" s="54"/>
      <c r="E732" s="54"/>
    </row>
    <row r="733">
      <c r="B733" s="54"/>
      <c r="D733" s="54"/>
      <c r="E733" s="54"/>
    </row>
    <row r="734">
      <c r="B734" s="54"/>
      <c r="D734" s="54"/>
      <c r="E734" s="54"/>
    </row>
    <row r="735">
      <c r="B735" s="54"/>
      <c r="D735" s="54"/>
      <c r="E735" s="54"/>
    </row>
    <row r="736">
      <c r="B736" s="54"/>
      <c r="D736" s="54"/>
      <c r="E736" s="54"/>
    </row>
    <row r="737">
      <c r="B737" s="54"/>
      <c r="D737" s="54"/>
      <c r="E737" s="54"/>
    </row>
    <row r="738">
      <c r="B738" s="54"/>
      <c r="D738" s="54"/>
      <c r="E738" s="54"/>
    </row>
    <row r="739">
      <c r="B739" s="54"/>
      <c r="D739" s="54"/>
      <c r="E739" s="54"/>
    </row>
    <row r="740">
      <c r="B740" s="54"/>
      <c r="D740" s="54"/>
      <c r="E740" s="54"/>
    </row>
    <row r="741">
      <c r="B741" s="54"/>
      <c r="D741" s="54"/>
      <c r="E741" s="54"/>
    </row>
    <row r="742">
      <c r="B742" s="54"/>
      <c r="D742" s="54"/>
      <c r="E742" s="54"/>
    </row>
    <row r="743">
      <c r="B743" s="54"/>
      <c r="D743" s="54"/>
      <c r="E743" s="54"/>
    </row>
    <row r="744">
      <c r="B744" s="54"/>
      <c r="D744" s="54"/>
      <c r="E744" s="54"/>
    </row>
    <row r="745">
      <c r="B745" s="54"/>
      <c r="D745" s="54"/>
      <c r="E745" s="54"/>
    </row>
    <row r="746">
      <c r="B746" s="54"/>
      <c r="D746" s="54"/>
      <c r="E746" s="54"/>
    </row>
    <row r="747">
      <c r="B747" s="54"/>
      <c r="D747" s="54"/>
      <c r="E747" s="54"/>
    </row>
    <row r="748">
      <c r="B748" s="54"/>
      <c r="D748" s="54"/>
      <c r="E748" s="54"/>
    </row>
    <row r="749">
      <c r="B749" s="54"/>
      <c r="D749" s="54"/>
      <c r="E749" s="54"/>
    </row>
    <row r="750">
      <c r="B750" s="54"/>
      <c r="D750" s="54"/>
      <c r="E750" s="54"/>
    </row>
    <row r="751">
      <c r="B751" s="54"/>
      <c r="D751" s="54"/>
      <c r="E751" s="54"/>
    </row>
    <row r="752">
      <c r="B752" s="54"/>
      <c r="D752" s="54"/>
      <c r="E752" s="54"/>
    </row>
    <row r="753">
      <c r="B753" s="54"/>
      <c r="D753" s="54"/>
      <c r="E753" s="54"/>
    </row>
    <row r="754">
      <c r="B754" s="54"/>
      <c r="D754" s="54"/>
      <c r="E754" s="54"/>
    </row>
    <row r="755">
      <c r="B755" s="54"/>
      <c r="D755" s="54"/>
      <c r="E755" s="54"/>
    </row>
    <row r="756">
      <c r="B756" s="54"/>
      <c r="D756" s="54"/>
      <c r="E756" s="54"/>
    </row>
    <row r="757">
      <c r="B757" s="54"/>
      <c r="D757" s="54"/>
      <c r="E757" s="54"/>
    </row>
    <row r="758">
      <c r="B758" s="54"/>
      <c r="D758" s="54"/>
      <c r="E758" s="54"/>
    </row>
    <row r="759">
      <c r="B759" s="54"/>
      <c r="D759" s="54"/>
      <c r="E759" s="54"/>
    </row>
    <row r="760">
      <c r="B760" s="54"/>
      <c r="D760" s="54"/>
      <c r="E760" s="54"/>
    </row>
    <row r="761">
      <c r="B761" s="54"/>
      <c r="D761" s="54"/>
      <c r="E761" s="54"/>
    </row>
    <row r="762">
      <c r="B762" s="54"/>
      <c r="D762" s="54"/>
      <c r="E762" s="54"/>
    </row>
    <row r="763">
      <c r="B763" s="54"/>
      <c r="D763" s="54"/>
      <c r="E763" s="54"/>
    </row>
    <row r="764">
      <c r="B764" s="54"/>
      <c r="D764" s="54"/>
      <c r="E764" s="54"/>
    </row>
    <row r="765">
      <c r="B765" s="54"/>
      <c r="D765" s="54"/>
      <c r="E765" s="54"/>
    </row>
    <row r="766">
      <c r="B766" s="54"/>
      <c r="D766" s="54"/>
      <c r="E766" s="54"/>
    </row>
    <row r="767">
      <c r="B767" s="54"/>
      <c r="D767" s="54"/>
      <c r="E767" s="54"/>
    </row>
    <row r="768">
      <c r="B768" s="54"/>
      <c r="D768" s="54"/>
      <c r="E768" s="54"/>
    </row>
    <row r="769">
      <c r="B769" s="54"/>
      <c r="D769" s="54"/>
      <c r="E769" s="54"/>
    </row>
    <row r="770">
      <c r="B770" s="54"/>
      <c r="D770" s="54"/>
      <c r="E770" s="54"/>
    </row>
    <row r="771">
      <c r="B771" s="54"/>
      <c r="D771" s="54"/>
      <c r="E771" s="54"/>
    </row>
    <row r="772">
      <c r="B772" s="54"/>
      <c r="D772" s="54"/>
      <c r="E772" s="54"/>
    </row>
    <row r="773">
      <c r="B773" s="54"/>
      <c r="D773" s="54"/>
      <c r="E773" s="54"/>
    </row>
    <row r="774">
      <c r="B774" s="54"/>
      <c r="D774" s="54"/>
      <c r="E774" s="54"/>
    </row>
    <row r="775">
      <c r="B775" s="54"/>
      <c r="D775" s="54"/>
      <c r="E775" s="54"/>
    </row>
    <row r="776">
      <c r="B776" s="54"/>
      <c r="D776" s="54"/>
      <c r="E776" s="54"/>
    </row>
    <row r="777">
      <c r="B777" s="54"/>
      <c r="D777" s="54"/>
      <c r="E777" s="54"/>
    </row>
    <row r="778">
      <c r="B778" s="54"/>
      <c r="D778" s="54"/>
      <c r="E778" s="54"/>
    </row>
    <row r="779">
      <c r="B779" s="54"/>
      <c r="D779" s="54"/>
      <c r="E779" s="54"/>
    </row>
    <row r="780">
      <c r="B780" s="54"/>
      <c r="D780" s="54"/>
      <c r="E780" s="54"/>
    </row>
    <row r="781">
      <c r="B781" s="54"/>
      <c r="D781" s="54"/>
      <c r="E781" s="54"/>
    </row>
    <row r="782">
      <c r="B782" s="54"/>
      <c r="D782" s="54"/>
      <c r="E782" s="54"/>
    </row>
    <row r="783">
      <c r="B783" s="54"/>
      <c r="D783" s="54"/>
      <c r="E783" s="54"/>
    </row>
    <row r="784">
      <c r="B784" s="54"/>
      <c r="D784" s="54"/>
      <c r="E784" s="54"/>
    </row>
    <row r="785">
      <c r="B785" s="54"/>
      <c r="D785" s="54"/>
      <c r="E785" s="54"/>
    </row>
    <row r="786">
      <c r="B786" s="54"/>
      <c r="D786" s="54"/>
      <c r="E786" s="54"/>
    </row>
    <row r="787">
      <c r="B787" s="54"/>
      <c r="D787" s="54"/>
      <c r="E787" s="54"/>
    </row>
    <row r="788">
      <c r="B788" s="54"/>
      <c r="D788" s="54"/>
      <c r="E788" s="54"/>
    </row>
    <row r="789">
      <c r="B789" s="54"/>
      <c r="D789" s="54"/>
      <c r="E789" s="54"/>
    </row>
    <row r="790">
      <c r="B790" s="54"/>
      <c r="D790" s="54"/>
      <c r="E790" s="54"/>
    </row>
    <row r="791">
      <c r="B791" s="54"/>
      <c r="D791" s="54"/>
      <c r="E791" s="54"/>
    </row>
    <row r="792">
      <c r="B792" s="54"/>
      <c r="D792" s="54"/>
      <c r="E792" s="54"/>
    </row>
    <row r="793">
      <c r="B793" s="54"/>
      <c r="D793" s="54"/>
      <c r="E793" s="54"/>
    </row>
    <row r="794">
      <c r="B794" s="54"/>
      <c r="D794" s="54"/>
      <c r="E794" s="54"/>
    </row>
    <row r="795">
      <c r="B795" s="54"/>
      <c r="D795" s="54"/>
      <c r="E795" s="54"/>
    </row>
    <row r="796">
      <c r="B796" s="54"/>
      <c r="D796" s="54"/>
      <c r="E796" s="54"/>
    </row>
    <row r="797">
      <c r="B797" s="54"/>
      <c r="D797" s="54"/>
      <c r="E797" s="54"/>
    </row>
    <row r="798">
      <c r="B798" s="54"/>
      <c r="D798" s="54"/>
      <c r="E798" s="54"/>
    </row>
    <row r="799">
      <c r="B799" s="54"/>
      <c r="D799" s="54"/>
      <c r="E799" s="54"/>
    </row>
    <row r="800">
      <c r="B800" s="54"/>
      <c r="D800" s="54"/>
      <c r="E800" s="54"/>
    </row>
    <row r="801">
      <c r="B801" s="54"/>
      <c r="D801" s="54"/>
      <c r="E801" s="54"/>
    </row>
    <row r="802">
      <c r="B802" s="54"/>
      <c r="D802" s="54"/>
      <c r="E802" s="54"/>
    </row>
    <row r="803">
      <c r="B803" s="54"/>
      <c r="D803" s="54"/>
      <c r="E803" s="54"/>
    </row>
    <row r="804">
      <c r="B804" s="54"/>
      <c r="D804" s="54"/>
      <c r="E804" s="54"/>
    </row>
    <row r="805">
      <c r="B805" s="54"/>
      <c r="D805" s="54"/>
      <c r="E805" s="54"/>
    </row>
    <row r="806">
      <c r="B806" s="54"/>
      <c r="D806" s="54"/>
      <c r="E806" s="54"/>
    </row>
    <row r="807">
      <c r="B807" s="54"/>
      <c r="D807" s="54"/>
      <c r="E807" s="54"/>
    </row>
    <row r="808">
      <c r="B808" s="54"/>
      <c r="D808" s="54"/>
      <c r="E808" s="54"/>
    </row>
    <row r="809">
      <c r="B809" s="54"/>
      <c r="D809" s="54"/>
      <c r="E809" s="54"/>
    </row>
    <row r="810">
      <c r="B810" s="54"/>
      <c r="D810" s="54"/>
      <c r="E810" s="54"/>
    </row>
    <row r="811">
      <c r="B811" s="54"/>
      <c r="D811" s="54"/>
      <c r="E811" s="54"/>
    </row>
    <row r="812">
      <c r="B812" s="54"/>
      <c r="D812" s="54"/>
      <c r="E812" s="54"/>
    </row>
    <row r="813">
      <c r="B813" s="54"/>
      <c r="D813" s="54"/>
      <c r="E813" s="54"/>
    </row>
    <row r="814">
      <c r="B814" s="54"/>
      <c r="D814" s="54"/>
      <c r="E814" s="54"/>
    </row>
    <row r="815">
      <c r="B815" s="54"/>
      <c r="D815" s="54"/>
      <c r="E815" s="54"/>
    </row>
    <row r="816">
      <c r="B816" s="54"/>
      <c r="D816" s="54"/>
      <c r="E816" s="54"/>
    </row>
    <row r="817">
      <c r="B817" s="54"/>
      <c r="D817" s="54"/>
      <c r="E817" s="54"/>
    </row>
    <row r="818">
      <c r="B818" s="54"/>
      <c r="D818" s="54"/>
      <c r="E818" s="54"/>
    </row>
    <row r="819">
      <c r="B819" s="54"/>
      <c r="D819" s="54"/>
      <c r="E819" s="54"/>
    </row>
    <row r="820">
      <c r="B820" s="54"/>
      <c r="D820" s="54"/>
      <c r="E820" s="54"/>
    </row>
    <row r="821">
      <c r="B821" s="54"/>
      <c r="D821" s="54"/>
      <c r="E821" s="54"/>
    </row>
    <row r="822">
      <c r="B822" s="54"/>
      <c r="D822" s="54"/>
      <c r="E822" s="54"/>
    </row>
    <row r="823">
      <c r="B823" s="54"/>
      <c r="D823" s="54"/>
      <c r="E823" s="54"/>
    </row>
    <row r="824">
      <c r="B824" s="54"/>
      <c r="D824" s="54"/>
      <c r="E824" s="54"/>
    </row>
    <row r="825">
      <c r="B825" s="54"/>
      <c r="D825" s="54"/>
      <c r="E825" s="54"/>
    </row>
    <row r="826">
      <c r="B826" s="54"/>
      <c r="D826" s="54"/>
      <c r="E826" s="54"/>
    </row>
    <row r="827">
      <c r="B827" s="54"/>
      <c r="D827" s="54"/>
      <c r="E827" s="54"/>
    </row>
    <row r="828">
      <c r="B828" s="54"/>
      <c r="D828" s="54"/>
      <c r="E828" s="54"/>
    </row>
    <row r="829">
      <c r="B829" s="54"/>
      <c r="D829" s="54"/>
      <c r="E829" s="54"/>
    </row>
    <row r="830">
      <c r="B830" s="54"/>
      <c r="D830" s="54"/>
      <c r="E830" s="54"/>
    </row>
    <row r="831">
      <c r="B831" s="54"/>
      <c r="D831" s="54"/>
      <c r="E831" s="54"/>
    </row>
    <row r="832">
      <c r="B832" s="54"/>
      <c r="D832" s="54"/>
      <c r="E832" s="54"/>
    </row>
    <row r="833">
      <c r="B833" s="54"/>
      <c r="D833" s="54"/>
      <c r="E833" s="54"/>
    </row>
    <row r="834">
      <c r="B834" s="54"/>
      <c r="D834" s="54"/>
      <c r="E834" s="54"/>
    </row>
    <row r="835">
      <c r="B835" s="54"/>
      <c r="D835" s="54"/>
      <c r="E835" s="54"/>
    </row>
    <row r="836">
      <c r="B836" s="54"/>
      <c r="D836" s="54"/>
      <c r="E836" s="54"/>
    </row>
    <row r="837">
      <c r="B837" s="54"/>
      <c r="D837" s="54"/>
      <c r="E837" s="54"/>
    </row>
    <row r="838">
      <c r="B838" s="54"/>
      <c r="D838" s="54"/>
      <c r="E838" s="54"/>
    </row>
    <row r="839">
      <c r="B839" s="54"/>
      <c r="D839" s="54"/>
      <c r="E839" s="54"/>
    </row>
    <row r="840">
      <c r="B840" s="54"/>
      <c r="D840" s="54"/>
      <c r="E840" s="54"/>
    </row>
    <row r="841">
      <c r="B841" s="54"/>
      <c r="D841" s="54"/>
      <c r="E841" s="54"/>
    </row>
    <row r="842">
      <c r="B842" s="54"/>
      <c r="D842" s="54"/>
      <c r="E842" s="54"/>
    </row>
    <row r="843">
      <c r="B843" s="54"/>
      <c r="D843" s="54"/>
      <c r="E843" s="54"/>
    </row>
    <row r="844">
      <c r="B844" s="54"/>
      <c r="D844" s="54"/>
      <c r="E844" s="54"/>
    </row>
    <row r="845">
      <c r="B845" s="54"/>
      <c r="D845" s="54"/>
      <c r="E845" s="54"/>
    </row>
    <row r="846">
      <c r="B846" s="54"/>
      <c r="D846" s="54"/>
      <c r="E846" s="54"/>
    </row>
    <row r="847">
      <c r="B847" s="54"/>
      <c r="D847" s="54"/>
      <c r="E847" s="54"/>
    </row>
    <row r="848">
      <c r="B848" s="54"/>
      <c r="D848" s="54"/>
      <c r="E848" s="54"/>
    </row>
    <row r="849">
      <c r="B849" s="54"/>
      <c r="D849" s="54"/>
      <c r="E849" s="54"/>
    </row>
    <row r="850">
      <c r="B850" s="54"/>
      <c r="D850" s="54"/>
      <c r="E850" s="54"/>
    </row>
    <row r="851">
      <c r="B851" s="54"/>
      <c r="D851" s="54"/>
      <c r="E851" s="54"/>
    </row>
    <row r="852">
      <c r="B852" s="54"/>
      <c r="D852" s="54"/>
      <c r="E852" s="54"/>
    </row>
    <row r="853">
      <c r="B853" s="54"/>
      <c r="D853" s="54"/>
      <c r="E853" s="54"/>
    </row>
    <row r="854">
      <c r="B854" s="54"/>
      <c r="D854" s="54"/>
      <c r="E854" s="54"/>
    </row>
    <row r="855">
      <c r="B855" s="54"/>
      <c r="D855" s="54"/>
      <c r="E855" s="54"/>
    </row>
    <row r="856">
      <c r="B856" s="54"/>
      <c r="D856" s="54"/>
      <c r="E856" s="54"/>
    </row>
    <row r="857">
      <c r="B857" s="54"/>
      <c r="D857" s="54"/>
      <c r="E857" s="54"/>
    </row>
    <row r="858">
      <c r="B858" s="54"/>
      <c r="D858" s="54"/>
      <c r="E858" s="54"/>
    </row>
    <row r="859">
      <c r="B859" s="54"/>
      <c r="D859" s="54"/>
      <c r="E859" s="54"/>
    </row>
    <row r="860">
      <c r="B860" s="54"/>
      <c r="D860" s="54"/>
      <c r="E860" s="54"/>
    </row>
    <row r="861">
      <c r="B861" s="54"/>
      <c r="D861" s="54"/>
      <c r="E861" s="54"/>
    </row>
    <row r="862">
      <c r="B862" s="54"/>
      <c r="D862" s="54"/>
      <c r="E862" s="54"/>
    </row>
    <row r="863">
      <c r="B863" s="54"/>
      <c r="D863" s="54"/>
      <c r="E863" s="54"/>
    </row>
    <row r="864">
      <c r="B864" s="54"/>
      <c r="D864" s="54"/>
      <c r="E864" s="54"/>
    </row>
    <row r="865">
      <c r="B865" s="54"/>
      <c r="D865" s="54"/>
      <c r="E865" s="54"/>
    </row>
    <row r="866">
      <c r="B866" s="54"/>
      <c r="D866" s="54"/>
      <c r="E866" s="54"/>
    </row>
    <row r="867">
      <c r="B867" s="54"/>
      <c r="D867" s="54"/>
      <c r="E867" s="54"/>
    </row>
    <row r="868">
      <c r="B868" s="54"/>
      <c r="D868" s="54"/>
      <c r="E868" s="54"/>
    </row>
    <row r="869">
      <c r="B869" s="54"/>
      <c r="D869" s="54"/>
      <c r="E869" s="54"/>
    </row>
    <row r="870">
      <c r="B870" s="54"/>
      <c r="D870" s="54"/>
      <c r="E870" s="54"/>
    </row>
    <row r="871">
      <c r="B871" s="54"/>
      <c r="D871" s="54"/>
      <c r="E871" s="54"/>
    </row>
    <row r="872">
      <c r="B872" s="54"/>
      <c r="D872" s="54"/>
      <c r="E872" s="54"/>
    </row>
    <row r="873">
      <c r="B873" s="54"/>
      <c r="D873" s="54"/>
      <c r="E873" s="54"/>
    </row>
    <row r="874">
      <c r="B874" s="54"/>
      <c r="D874" s="54"/>
      <c r="E874" s="54"/>
    </row>
    <row r="875">
      <c r="B875" s="54"/>
      <c r="D875" s="54"/>
      <c r="E875" s="54"/>
    </row>
    <row r="876">
      <c r="B876" s="54"/>
      <c r="D876" s="54"/>
      <c r="E876" s="54"/>
    </row>
    <row r="877">
      <c r="B877" s="54"/>
      <c r="D877" s="54"/>
      <c r="E877" s="54"/>
    </row>
    <row r="878">
      <c r="B878" s="54"/>
      <c r="D878" s="54"/>
      <c r="E878" s="54"/>
    </row>
    <row r="879">
      <c r="B879" s="54"/>
      <c r="D879" s="54"/>
      <c r="E879" s="54"/>
    </row>
    <row r="880">
      <c r="B880" s="54"/>
      <c r="D880" s="54"/>
      <c r="E880" s="54"/>
    </row>
    <row r="881">
      <c r="B881" s="54"/>
      <c r="D881" s="54"/>
      <c r="E881" s="54"/>
    </row>
    <row r="882">
      <c r="B882" s="54"/>
      <c r="D882" s="54"/>
      <c r="E882" s="54"/>
    </row>
    <row r="883">
      <c r="B883" s="54"/>
      <c r="D883" s="54"/>
      <c r="E883" s="54"/>
    </row>
    <row r="884">
      <c r="B884" s="54"/>
      <c r="D884" s="54"/>
      <c r="E884" s="54"/>
    </row>
    <row r="885">
      <c r="B885" s="54"/>
      <c r="D885" s="54"/>
      <c r="E885" s="54"/>
    </row>
    <row r="886">
      <c r="B886" s="54"/>
      <c r="D886" s="54"/>
      <c r="E886" s="54"/>
    </row>
    <row r="887">
      <c r="B887" s="54"/>
      <c r="D887" s="54"/>
      <c r="E887" s="54"/>
    </row>
    <row r="888">
      <c r="B888" s="54"/>
      <c r="D888" s="54"/>
      <c r="E888" s="54"/>
    </row>
    <row r="889">
      <c r="B889" s="54"/>
      <c r="D889" s="54"/>
      <c r="E889" s="54"/>
    </row>
    <row r="890">
      <c r="B890" s="54"/>
      <c r="D890" s="54"/>
      <c r="E890" s="54"/>
    </row>
    <row r="891">
      <c r="B891" s="54"/>
      <c r="D891" s="54"/>
      <c r="E891" s="54"/>
    </row>
    <row r="892">
      <c r="B892" s="54"/>
      <c r="D892" s="54"/>
      <c r="E892" s="54"/>
    </row>
    <row r="893">
      <c r="B893" s="54"/>
      <c r="D893" s="54"/>
      <c r="E893" s="54"/>
    </row>
    <row r="894">
      <c r="B894" s="54"/>
      <c r="D894" s="54"/>
      <c r="E894" s="54"/>
    </row>
    <row r="895">
      <c r="B895" s="54"/>
      <c r="D895" s="54"/>
      <c r="E895" s="54"/>
    </row>
    <row r="896">
      <c r="B896" s="54"/>
      <c r="D896" s="54"/>
      <c r="E896" s="54"/>
    </row>
    <row r="897">
      <c r="B897" s="54"/>
      <c r="D897" s="54"/>
      <c r="E897" s="54"/>
    </row>
    <row r="898">
      <c r="B898" s="54"/>
      <c r="D898" s="54"/>
      <c r="E898" s="54"/>
    </row>
    <row r="899">
      <c r="B899" s="54"/>
      <c r="D899" s="54"/>
      <c r="E899" s="54"/>
    </row>
    <row r="900">
      <c r="B900" s="54"/>
      <c r="D900" s="54"/>
      <c r="E900" s="54"/>
    </row>
    <row r="901">
      <c r="B901" s="54"/>
      <c r="D901" s="54"/>
      <c r="E901" s="54"/>
    </row>
    <row r="902">
      <c r="B902" s="54"/>
      <c r="D902" s="54"/>
      <c r="E902" s="54"/>
    </row>
    <row r="903">
      <c r="B903" s="54"/>
      <c r="D903" s="54"/>
      <c r="E903" s="54"/>
    </row>
    <row r="904">
      <c r="B904" s="54"/>
      <c r="D904" s="54"/>
      <c r="E904" s="54"/>
    </row>
    <row r="905">
      <c r="B905" s="54"/>
      <c r="D905" s="54"/>
      <c r="E905" s="54"/>
    </row>
    <row r="906">
      <c r="B906" s="54"/>
      <c r="D906" s="54"/>
      <c r="E906" s="54"/>
    </row>
    <row r="907">
      <c r="B907" s="54"/>
      <c r="D907" s="54"/>
      <c r="E907" s="54"/>
    </row>
    <row r="908">
      <c r="B908" s="54"/>
      <c r="D908" s="54"/>
      <c r="E908" s="54"/>
    </row>
    <row r="909">
      <c r="B909" s="54"/>
      <c r="D909" s="54"/>
      <c r="E909" s="54"/>
    </row>
    <row r="910">
      <c r="B910" s="54"/>
      <c r="D910" s="54"/>
      <c r="E910" s="54"/>
    </row>
    <row r="911">
      <c r="B911" s="54"/>
      <c r="D911" s="54"/>
      <c r="E911" s="54"/>
    </row>
    <row r="912">
      <c r="B912" s="54"/>
      <c r="D912" s="54"/>
      <c r="E912" s="54"/>
    </row>
    <row r="913">
      <c r="B913" s="54"/>
      <c r="D913" s="54"/>
      <c r="E913" s="54"/>
    </row>
    <row r="914">
      <c r="B914" s="54"/>
      <c r="D914" s="54"/>
      <c r="E914" s="54"/>
    </row>
    <row r="915">
      <c r="B915" s="54"/>
      <c r="D915" s="54"/>
      <c r="E915" s="54"/>
    </row>
    <row r="916">
      <c r="B916" s="54"/>
      <c r="D916" s="54"/>
      <c r="E916" s="54"/>
    </row>
    <row r="917">
      <c r="B917" s="54"/>
      <c r="D917" s="54"/>
      <c r="E917" s="54"/>
    </row>
    <row r="918">
      <c r="B918" s="54"/>
      <c r="D918" s="54"/>
      <c r="E918" s="54"/>
    </row>
    <row r="919">
      <c r="B919" s="54"/>
      <c r="D919" s="54"/>
      <c r="E919" s="54"/>
    </row>
    <row r="920">
      <c r="B920" s="54"/>
      <c r="D920" s="54"/>
      <c r="E920" s="54"/>
    </row>
    <row r="921">
      <c r="B921" s="54"/>
      <c r="D921" s="54"/>
      <c r="E921" s="54"/>
    </row>
    <row r="922">
      <c r="B922" s="54"/>
      <c r="D922" s="54"/>
      <c r="E922" s="54"/>
    </row>
    <row r="923">
      <c r="B923" s="54"/>
      <c r="D923" s="54"/>
      <c r="E923" s="54"/>
    </row>
    <row r="924">
      <c r="B924" s="54"/>
      <c r="D924" s="54"/>
      <c r="E924" s="54"/>
    </row>
    <row r="925">
      <c r="B925" s="54"/>
      <c r="D925" s="54"/>
      <c r="E925" s="54"/>
    </row>
    <row r="926">
      <c r="B926" s="54"/>
      <c r="D926" s="54"/>
      <c r="E926" s="54"/>
    </row>
    <row r="927">
      <c r="B927" s="54"/>
      <c r="D927" s="54"/>
      <c r="E927" s="54"/>
    </row>
    <row r="928">
      <c r="B928" s="54"/>
      <c r="D928" s="54"/>
      <c r="E928" s="54"/>
    </row>
    <row r="929">
      <c r="B929" s="54"/>
      <c r="D929" s="54"/>
      <c r="E929" s="54"/>
    </row>
    <row r="930">
      <c r="B930" s="54"/>
      <c r="D930" s="54"/>
      <c r="E930" s="54"/>
    </row>
    <row r="931">
      <c r="B931" s="54"/>
      <c r="D931" s="54"/>
      <c r="E931" s="54"/>
    </row>
    <row r="932">
      <c r="B932" s="54"/>
      <c r="D932" s="54"/>
      <c r="E932" s="54"/>
    </row>
    <row r="933">
      <c r="B933" s="54"/>
      <c r="D933" s="54"/>
      <c r="E933" s="54"/>
    </row>
    <row r="934">
      <c r="B934" s="54"/>
      <c r="D934" s="54"/>
      <c r="E934" s="54"/>
    </row>
    <row r="935">
      <c r="B935" s="54"/>
      <c r="D935" s="54"/>
      <c r="E935" s="54"/>
    </row>
    <row r="936">
      <c r="B936" s="54"/>
      <c r="D936" s="54"/>
      <c r="E936" s="54"/>
    </row>
    <row r="937">
      <c r="B937" s="54"/>
      <c r="D937" s="54"/>
      <c r="E937" s="54"/>
    </row>
    <row r="938">
      <c r="B938" s="54"/>
      <c r="D938" s="54"/>
      <c r="E938" s="54"/>
    </row>
    <row r="939">
      <c r="B939" s="54"/>
      <c r="D939" s="54"/>
      <c r="E939" s="54"/>
    </row>
    <row r="940">
      <c r="B940" s="54"/>
      <c r="D940" s="54"/>
      <c r="E940" s="54"/>
    </row>
    <row r="941">
      <c r="B941" s="54"/>
      <c r="D941" s="54"/>
      <c r="E941" s="54"/>
    </row>
    <row r="942">
      <c r="B942" s="54"/>
      <c r="D942" s="54"/>
      <c r="E942" s="54"/>
    </row>
    <row r="943">
      <c r="B943" s="54"/>
      <c r="D943" s="54"/>
      <c r="E943" s="54"/>
    </row>
    <row r="944">
      <c r="B944" s="54"/>
      <c r="D944" s="54"/>
      <c r="E944" s="54"/>
    </row>
    <row r="945">
      <c r="B945" s="54"/>
      <c r="D945" s="54"/>
      <c r="E945" s="54"/>
    </row>
    <row r="946">
      <c r="B946" s="54"/>
      <c r="D946" s="54"/>
      <c r="E946" s="54"/>
    </row>
    <row r="947">
      <c r="B947" s="54"/>
      <c r="D947" s="54"/>
      <c r="E947" s="54"/>
    </row>
    <row r="948">
      <c r="B948" s="54"/>
      <c r="D948" s="54"/>
      <c r="E948" s="54"/>
    </row>
    <row r="949">
      <c r="B949" s="54"/>
      <c r="D949" s="54"/>
      <c r="E949" s="54"/>
    </row>
    <row r="950">
      <c r="B950" s="54"/>
      <c r="D950" s="54"/>
      <c r="E950" s="54"/>
    </row>
    <row r="951">
      <c r="B951" s="54"/>
      <c r="D951" s="54"/>
      <c r="E951" s="54"/>
    </row>
    <row r="952">
      <c r="B952" s="54"/>
      <c r="D952" s="54"/>
      <c r="E952" s="54"/>
    </row>
    <row r="953">
      <c r="B953" s="54"/>
      <c r="D953" s="54"/>
      <c r="E953" s="54"/>
    </row>
    <row r="954">
      <c r="B954" s="54"/>
      <c r="D954" s="54"/>
      <c r="E954" s="54"/>
    </row>
    <row r="955">
      <c r="B955" s="54"/>
      <c r="D955" s="54"/>
      <c r="E955" s="54"/>
    </row>
    <row r="956">
      <c r="B956" s="54"/>
      <c r="D956" s="54"/>
      <c r="E956" s="54"/>
    </row>
    <row r="957">
      <c r="B957" s="54"/>
      <c r="D957" s="54"/>
      <c r="E957" s="54"/>
    </row>
    <row r="958">
      <c r="B958" s="54"/>
      <c r="D958" s="54"/>
      <c r="E958" s="54"/>
    </row>
    <row r="959">
      <c r="B959" s="54"/>
      <c r="D959" s="54"/>
      <c r="E959" s="54"/>
    </row>
    <row r="960">
      <c r="B960" s="54"/>
      <c r="D960" s="54"/>
      <c r="E960" s="54"/>
    </row>
    <row r="961">
      <c r="B961" s="54"/>
      <c r="D961" s="54"/>
      <c r="E961" s="54"/>
    </row>
    <row r="962">
      <c r="B962" s="54"/>
      <c r="D962" s="54"/>
      <c r="E962" s="54"/>
    </row>
    <row r="963">
      <c r="B963" s="54"/>
      <c r="D963" s="54"/>
      <c r="E963" s="54"/>
    </row>
    <row r="964">
      <c r="B964" s="54"/>
      <c r="D964" s="54"/>
      <c r="E964" s="54"/>
    </row>
    <row r="965">
      <c r="B965" s="54"/>
      <c r="D965" s="54"/>
      <c r="E965" s="54"/>
    </row>
    <row r="966">
      <c r="B966" s="54"/>
      <c r="D966" s="54"/>
      <c r="E966" s="54"/>
    </row>
    <row r="967">
      <c r="B967" s="54"/>
      <c r="D967" s="54"/>
      <c r="E967" s="54"/>
    </row>
    <row r="968">
      <c r="B968" s="54"/>
      <c r="D968" s="54"/>
      <c r="E968" s="54"/>
    </row>
    <row r="969">
      <c r="B969" s="54"/>
      <c r="D969" s="54"/>
      <c r="E969" s="54"/>
    </row>
    <row r="970">
      <c r="B970" s="54"/>
      <c r="D970" s="54"/>
      <c r="E970" s="54"/>
    </row>
    <row r="971">
      <c r="B971" s="54"/>
      <c r="D971" s="54"/>
      <c r="E971" s="54"/>
    </row>
    <row r="972">
      <c r="B972" s="54"/>
      <c r="D972" s="54"/>
      <c r="E972" s="54"/>
    </row>
    <row r="973">
      <c r="B973" s="54"/>
      <c r="D973" s="54"/>
      <c r="E973" s="54"/>
    </row>
    <row r="974">
      <c r="B974" s="54"/>
      <c r="D974" s="54"/>
      <c r="E974" s="54"/>
    </row>
    <row r="975">
      <c r="B975" s="54"/>
      <c r="D975" s="54"/>
      <c r="E975" s="54"/>
    </row>
    <row r="976">
      <c r="B976" s="54"/>
      <c r="D976" s="54"/>
      <c r="E976" s="54"/>
    </row>
    <row r="977">
      <c r="B977" s="54"/>
      <c r="D977" s="54"/>
      <c r="E977" s="54"/>
    </row>
    <row r="978">
      <c r="B978" s="54"/>
      <c r="D978" s="54"/>
      <c r="E978" s="54"/>
    </row>
    <row r="979">
      <c r="B979" s="54"/>
      <c r="D979" s="54"/>
      <c r="E979" s="54"/>
    </row>
    <row r="980">
      <c r="B980" s="54"/>
      <c r="D980" s="54"/>
      <c r="E980" s="54"/>
    </row>
    <row r="981">
      <c r="B981" s="54"/>
      <c r="D981" s="54"/>
      <c r="E981" s="54"/>
    </row>
    <row r="982">
      <c r="B982" s="54"/>
      <c r="D982" s="54"/>
      <c r="E982" s="54"/>
    </row>
    <row r="983">
      <c r="B983" s="54"/>
      <c r="D983" s="54"/>
      <c r="E983" s="54"/>
    </row>
    <row r="984">
      <c r="B984" s="54"/>
      <c r="D984" s="54"/>
      <c r="E984" s="54"/>
    </row>
    <row r="985">
      <c r="B985" s="54"/>
      <c r="D985" s="54"/>
      <c r="E985" s="54"/>
    </row>
    <row r="986">
      <c r="B986" s="54"/>
      <c r="D986" s="54"/>
      <c r="E986" s="54"/>
    </row>
    <row r="987">
      <c r="B987" s="54"/>
      <c r="D987" s="54"/>
      <c r="E987" s="54"/>
    </row>
    <row r="988">
      <c r="B988" s="54"/>
      <c r="D988" s="54"/>
      <c r="E988" s="54"/>
    </row>
    <row r="989">
      <c r="B989" s="54"/>
      <c r="D989" s="54"/>
      <c r="E989" s="54"/>
    </row>
    <row r="990">
      <c r="B990" s="54"/>
      <c r="D990" s="54"/>
      <c r="E990" s="54"/>
    </row>
    <row r="991">
      <c r="B991" s="54"/>
      <c r="D991" s="54"/>
      <c r="E991" s="54"/>
    </row>
    <row r="992">
      <c r="B992" s="54"/>
      <c r="D992" s="54"/>
      <c r="E992" s="54"/>
    </row>
    <row r="993">
      <c r="B993" s="54"/>
      <c r="D993" s="54"/>
      <c r="E993" s="54"/>
    </row>
    <row r="994">
      <c r="B994" s="54"/>
      <c r="D994" s="54"/>
      <c r="E994" s="54"/>
    </row>
    <row r="995">
      <c r="B995" s="54"/>
      <c r="D995" s="54"/>
      <c r="E995" s="54"/>
    </row>
    <row r="996">
      <c r="B996" s="54"/>
      <c r="D996" s="54"/>
      <c r="E996" s="54"/>
    </row>
    <row r="997">
      <c r="B997" s="54"/>
      <c r="D997" s="54"/>
      <c r="E997" s="54"/>
    </row>
    <row r="998">
      <c r="B998" s="54"/>
      <c r="D998" s="54"/>
      <c r="E998" s="54"/>
    </row>
    <row r="999">
      <c r="B999" s="54"/>
      <c r="D999" s="54"/>
      <c r="E999" s="54"/>
    </row>
  </sheetData>
  <mergeCells count="5">
    <mergeCell ref="A18:E18"/>
    <mergeCell ref="A19:E19"/>
    <mergeCell ref="A20:E20"/>
    <mergeCell ref="A21:E21"/>
    <mergeCell ref="A34:E34"/>
  </mergeCell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0"/>
  </cols>
  <sheetData>
    <row r="1">
      <c r="A1" s="9"/>
      <c r="B1" s="82" t="s">
        <v>16</v>
      </c>
    </row>
    <row r="2">
      <c r="A2" s="9" t="s">
        <v>18</v>
      </c>
      <c r="B2" s="82" t="s">
        <v>80</v>
      </c>
    </row>
    <row r="3">
      <c r="A3" s="9" t="s">
        <v>20</v>
      </c>
      <c r="B3" s="82" t="s">
        <v>21</v>
      </c>
    </row>
    <row r="4">
      <c r="A4" s="9" t="s">
        <v>23</v>
      </c>
      <c r="B4" s="82" t="s">
        <v>24</v>
      </c>
    </row>
    <row r="5">
      <c r="A5" s="9" t="s">
        <v>26</v>
      </c>
      <c r="B5" s="82" t="s">
        <v>27</v>
      </c>
    </row>
    <row r="6">
      <c r="A6" s="9" t="s">
        <v>29</v>
      </c>
      <c r="B6" s="83" t="s">
        <v>30</v>
      </c>
    </row>
    <row r="7">
      <c r="A7" s="9" t="s">
        <v>32</v>
      </c>
      <c r="B7" s="83" t="s">
        <v>33</v>
      </c>
    </row>
    <row r="8">
      <c r="A8" s="9" t="s">
        <v>35</v>
      </c>
      <c r="B8" s="82" t="s">
        <v>36</v>
      </c>
    </row>
    <row r="9">
      <c r="A9" s="9" t="s">
        <v>38</v>
      </c>
      <c r="B9" s="82" t="s">
        <v>39</v>
      </c>
    </row>
    <row r="10">
      <c r="A10" s="9" t="s">
        <v>41</v>
      </c>
      <c r="B10" s="83" t="s">
        <v>42</v>
      </c>
    </row>
    <row r="11">
      <c r="A11" s="9" t="s">
        <v>44</v>
      </c>
      <c r="B11" s="83" t="s">
        <v>45</v>
      </c>
    </row>
  </sheetData>
  <drawing r:id="rId1"/>
</worksheet>
</file>